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a30f84df4d1ef7c/桌面/115科務/英文科科務/課程/"/>
    </mc:Choice>
  </mc:AlternateContent>
  <xr:revisionPtr revIDLastSave="1" documentId="8_{B95184DB-81CC-4939-932A-6BBF79E11F9D}" xr6:coauthVersionLast="47" xr6:coauthVersionMax="47" xr10:uidLastSave="{5BD7AAB3-145F-47D1-A019-78211D57A4E0}"/>
  <bookViews>
    <workbookView xWindow="-120" yWindow="-120" windowWidth="29040" windowHeight="15720" tabRatio="485" xr2:uid="{00000000-000D-0000-FFFF-FFFF00000000}"/>
  </bookViews>
  <sheets>
    <sheet name="英文課程需求一覽表" sheetId="1" r:id="rId1"/>
    <sheet name="教師授課節數統計" sheetId="2" r:id="rId2"/>
    <sheet name="班級課程需求明細-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3" l="1"/>
  <c r="E51" i="3"/>
  <c r="C51" i="3"/>
  <c r="H50" i="3"/>
  <c r="K50" i="3" s="1"/>
  <c r="H49" i="3"/>
  <c r="K49" i="3" s="1"/>
  <c r="H48" i="3"/>
  <c r="K48" i="3" s="1"/>
  <c r="H47" i="3"/>
  <c r="K47" i="3" s="1"/>
  <c r="H46" i="3"/>
  <c r="K46" i="3" s="1"/>
  <c r="H45" i="3"/>
  <c r="K45" i="3" s="1"/>
  <c r="H44" i="3"/>
  <c r="K44" i="3" s="1"/>
  <c r="H43" i="3"/>
  <c r="K43" i="3" s="1"/>
  <c r="H42" i="3"/>
  <c r="K42" i="3" s="1"/>
  <c r="H41" i="3"/>
  <c r="K41" i="3" s="1"/>
  <c r="H40" i="3"/>
  <c r="K40" i="3" s="1"/>
  <c r="H39" i="3"/>
  <c r="K39" i="3" s="1"/>
  <c r="H38" i="3"/>
  <c r="K38" i="3" s="1"/>
  <c r="H37" i="3"/>
  <c r="K37" i="3" s="1"/>
  <c r="H36" i="3"/>
  <c r="K36" i="3" s="1"/>
  <c r="H35" i="3"/>
  <c r="K35" i="3" s="1"/>
  <c r="H34" i="3"/>
  <c r="K34" i="3" s="1"/>
  <c r="H33" i="3"/>
  <c r="K33" i="3" s="1"/>
  <c r="H32" i="3"/>
  <c r="K32" i="3" s="1"/>
  <c r="H31" i="3"/>
  <c r="K31" i="3" s="1"/>
  <c r="H30" i="3"/>
  <c r="K30" i="3" s="1"/>
  <c r="H29" i="3"/>
  <c r="K29" i="3" s="1"/>
  <c r="H28" i="3"/>
  <c r="K28" i="3" s="1"/>
  <c r="H27" i="3"/>
  <c r="K27" i="3" s="1"/>
  <c r="H26" i="3"/>
  <c r="K26" i="3" s="1"/>
  <c r="H25" i="3"/>
  <c r="K25" i="3" s="1"/>
  <c r="H24" i="3"/>
  <c r="K24" i="3" s="1"/>
  <c r="H23" i="3"/>
  <c r="K23" i="3" s="1"/>
  <c r="H22" i="3"/>
  <c r="K22" i="3" s="1"/>
  <c r="H21" i="3"/>
  <c r="K21" i="3" s="1"/>
  <c r="H20" i="3"/>
  <c r="K20" i="3" s="1"/>
  <c r="H19" i="3"/>
  <c r="K19" i="3" s="1"/>
  <c r="H18" i="3"/>
  <c r="K18" i="3" s="1"/>
  <c r="H17" i="3"/>
  <c r="K17" i="3" s="1"/>
  <c r="H16" i="3"/>
  <c r="K16" i="3" s="1"/>
  <c r="H15" i="3"/>
  <c r="K15" i="3" s="1"/>
  <c r="H14" i="3"/>
  <c r="K14" i="3" s="1"/>
  <c r="H13" i="3"/>
  <c r="K13" i="3" s="1"/>
  <c r="H12" i="3"/>
  <c r="K12" i="3" s="1"/>
  <c r="H11" i="3"/>
  <c r="K11" i="3" s="1"/>
  <c r="H10" i="3"/>
  <c r="K10" i="3" s="1"/>
  <c r="H9" i="3"/>
  <c r="K9" i="3" s="1"/>
  <c r="H8" i="3"/>
  <c r="K8" i="3" s="1"/>
  <c r="H7" i="3"/>
  <c r="K7" i="3" s="1"/>
  <c r="H6" i="3"/>
  <c r="K6" i="3" s="1"/>
  <c r="H5" i="3"/>
  <c r="K5" i="3" s="1"/>
  <c r="H4" i="3"/>
  <c r="F13" i="2"/>
  <c r="D13" i="2"/>
  <c r="C13" i="2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AG18" i="1"/>
  <c r="AE18" i="1"/>
  <c r="AC18" i="1"/>
  <c r="X18" i="1"/>
  <c r="V18" i="1"/>
  <c r="T18" i="1"/>
  <c r="O18" i="1"/>
  <c r="M18" i="1"/>
  <c r="K18" i="1"/>
  <c r="F18" i="1"/>
  <c r="D18" i="1"/>
  <c r="B18" i="1"/>
  <c r="AI19" i="1" s="1"/>
  <c r="H51" i="3" l="1"/>
  <c r="K4" i="3"/>
  <c r="K51" i="3" s="1"/>
  <c r="E13" i="2"/>
  <c r="G5" i="2"/>
  <c r="G13" i="2" s="1"/>
</calcChain>
</file>

<file path=xl/sharedStrings.xml><?xml version="1.0" encoding="utf-8"?>
<sst xmlns="http://schemas.openxmlformats.org/spreadsheetml/2006/main" count="494" uniqueCount="101">
  <si>
    <t>115學年度第 1 學期班級英文課程需求一覽表</t>
  </si>
  <si>
    <t>班級</t>
  </si>
  <si>
    <t>正課</t>
  </si>
  <si>
    <t>輔導課</t>
  </si>
  <si>
    <t>其它</t>
  </si>
  <si>
    <t>備註</t>
  </si>
  <si>
    <t>普一(A)</t>
  </si>
  <si>
    <t>林天宜</t>
  </si>
  <si>
    <t>陳文宗</t>
  </si>
  <si>
    <t>英聽</t>
  </si>
  <si>
    <t>普二1</t>
  </si>
  <si>
    <t>何妃卿</t>
  </si>
  <si>
    <t>普三1</t>
  </si>
  <si>
    <t>顏惠玲</t>
  </si>
  <si>
    <t>英作</t>
  </si>
  <si>
    <t>七年1班</t>
  </si>
  <si>
    <t>陳慰慈</t>
  </si>
  <si>
    <t>彈性課程</t>
  </si>
  <si>
    <t>普一(B)</t>
  </si>
  <si>
    <t>普二2</t>
  </si>
  <si>
    <t>普三2</t>
  </si>
  <si>
    <t>蔡欣妤</t>
  </si>
  <si>
    <t>七年2班</t>
  </si>
  <si>
    <t>普一(C)</t>
  </si>
  <si>
    <t>普三3</t>
  </si>
  <si>
    <t>八年1班</t>
  </si>
  <si>
    <t>商一1</t>
  </si>
  <si>
    <t>商二1</t>
  </si>
  <si>
    <t>黃蘭婷</t>
  </si>
  <si>
    <t>商三1</t>
  </si>
  <si>
    <t>八年2班</t>
  </si>
  <si>
    <t>日一1</t>
  </si>
  <si>
    <t>日二1</t>
  </si>
  <si>
    <t>日三1</t>
  </si>
  <si>
    <t>九年1班</t>
  </si>
  <si>
    <t>餐一1</t>
  </si>
  <si>
    <t>餐二1</t>
  </si>
  <si>
    <t>餐英</t>
  </si>
  <si>
    <t>餐三1</t>
  </si>
  <si>
    <t>熊敏慧</t>
  </si>
  <si>
    <t>九年2班</t>
  </si>
  <si>
    <t>餐一2</t>
  </si>
  <si>
    <t>餐二2</t>
  </si>
  <si>
    <t>餐三2</t>
  </si>
  <si>
    <t>餐一3</t>
  </si>
  <si>
    <t>餐二3</t>
  </si>
  <si>
    <t>餐三3</t>
  </si>
  <si>
    <t>餐一4</t>
  </si>
  <si>
    <t>餐二4</t>
  </si>
  <si>
    <t>餐三4</t>
  </si>
  <si>
    <t>幼一1</t>
  </si>
  <si>
    <t>幼二1</t>
  </si>
  <si>
    <t>幼三1</t>
  </si>
  <si>
    <t>電資一1</t>
  </si>
  <si>
    <t>電二1</t>
  </si>
  <si>
    <t>電三1</t>
  </si>
  <si>
    <t>電資一2</t>
  </si>
  <si>
    <t>資二1</t>
  </si>
  <si>
    <t>資三1</t>
  </si>
  <si>
    <t>計一1</t>
  </si>
  <si>
    <t>計二1</t>
  </si>
  <si>
    <t>計三1</t>
  </si>
  <si>
    <t>計一2</t>
  </si>
  <si>
    <t>計二2</t>
  </si>
  <si>
    <t>計三2</t>
  </si>
  <si>
    <t>合計</t>
  </si>
  <si>
    <t>總計</t>
  </si>
  <si>
    <t>115學年度第1學期 英文科教師授課節數統計表（含基本/額外節數區分）</t>
  </si>
  <si>
    <t>統計說明：正課與其它課程（英聽/英作/餐英/彈性課程）計入基本節數；輔導課屬額外兼課節數。普高多元選修課程尚未計算在內。</t>
  </si>
  <si>
    <t>排名</t>
  </si>
  <si>
    <t>教師姓名</t>
  </si>
  <si>
    <t>正課節數</t>
  </si>
  <si>
    <t>其它節數</t>
  </si>
  <si>
    <t>基本節數小計
(正課+其它)</t>
  </si>
  <si>
    <t>額外輔導課節數</t>
  </si>
  <si>
    <t>總授課節數
(含輔導課)</t>
  </si>
  <si>
    <t>授課班級與課程細項明細</t>
  </si>
  <si>
    <t>正課(14節)：餐三1, 餐二3, 電資一1, 餐一3(2), 資二1, 資三1, 幼二1
其它(4節)：餐三1餐英, 餐二3餐英</t>
  </si>
  <si>
    <t>正課(14節)：七1(3), 七2(3), 餐三2, 計一1, 計一2, 餐二2
其它(4節)：餐三2餐英, 餐二2餐英
輔導課(2節)：七年1班(1), 七年2班(1)</t>
  </si>
  <si>
    <t>正課(16節)：普二2(4), 餐一1, 餐一4, 幼一1, 電資一2, 計三1, 計三2
其它(4節)：普一1英聽(2), 普一2英聽(2)
輔導課(1節)：普二2(1)</t>
  </si>
  <si>
    <t>正課(14節)：普二1(4), 普一B(4), 普三A(2), 商一1(2), 日一1(2)
其它(4節)：普三3英作(2),七1彈性(1), 七2彈性(1)
輔導課(4節)：普一2(2), 普二1(1), 普三A(1)</t>
  </si>
  <si>
    <t>正課(14節)：九1(3), 九2(3), 商二1(2), 餐一2(2), 電三1(2), 餐二4(2)
其它(2節)：餐二4餐英(2)
輔導課(2節)：九年1班(1), 九年2班(1)</t>
  </si>
  <si>
    <t>正課(12節)：普一A(4), 日三1(2), 餐三4(2), 計二1(2), 計二2(2)
其它(4節)：餐三4餐英(2), 九1彈性(1), 九2彈性(1)
輔導課(2節)：普一1(2)</t>
  </si>
  <si>
    <t>正課(15節)：普一C(4), 八2(3), 普三B(2), 日二1(2), 餐二1(2), 電二1(2)
其它(5節)：普三2英作(2), 餐二1餐英(2), 八1彈性(1)
輔導課(2節)：八年2班(1), 普三B(1)</t>
  </si>
  <si>
    <t>正課(11節)：八1(3), 普三C(2), 商三1(2), 餐三3(2), 幼三1(2)
其它(5節)：普三1英作(2), 餐三3餐英(2), 八2彈性(1)
輔導課(2節)：八年1班(1), 普三1(1)</t>
  </si>
  <si>
    <t>基本總節數：142節 | 額外輔導課總節數：15節 | 全校總英文需求：157節</t>
  </si>
  <si>
    <t>115學年度第1學期 各班級英文課程需求與教師分配明細表</t>
  </si>
  <si>
    <t>學程/年級</t>
  </si>
  <si>
    <t>正課教師</t>
  </si>
  <si>
    <t>其它教師</t>
  </si>
  <si>
    <t>其它課程備註</t>
  </si>
  <si>
    <t>基本節數小計</t>
  </si>
  <si>
    <t>輔導課教師</t>
  </si>
  <si>
    <t>班級總節數</t>
  </si>
  <si>
    <t>高一</t>
  </si>
  <si>
    <t>普一1</t>
  </si>
  <si>
    <t>高二</t>
  </si>
  <si>
    <t>-</t>
  </si>
  <si>
    <t>高三</t>
  </si>
  <si>
    <t>國中</t>
  </si>
  <si>
    <t>普一2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</si>
</sst>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scheme val="minor"/>
    </font>
    <font>
      <b/>
      <sz val="15"/>
      <color rgb="FFFFFFFF"/>
      <name val="微軟正黑體"/>
      <family val="2"/>
      <charset val="136"/>
    </font>
    <font>
      <b/>
      <sz val="10"/>
      <color rgb="FFFFFFFF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color rgb="FFC00000"/>
      <name val="微軟正黑體"/>
      <family val="2"/>
      <charset val="136"/>
    </font>
    <font>
      <b/>
      <sz val="11"/>
      <color rgb="FF1F497D"/>
      <name val="微軟正黑體"/>
      <family val="2"/>
      <charset val="136"/>
    </font>
    <font>
      <sz val="9"/>
      <name val="新細明體"/>
      <family val="3"/>
      <charset val="136"/>
      <scheme val="minor"/>
    </font>
    <font>
      <i/>
      <sz val="12"/>
      <color rgb="FF595959"/>
      <name val="微軟正黑體"/>
      <family val="2"/>
      <charset val="136"/>
    </font>
    <font>
      <b/>
      <sz val="20"/>
      <color indexed="8"/>
      <name val="標楷體"/>
      <family val="4"/>
      <charset val="136"/>
    </font>
    <font>
      <b/>
      <sz val="20"/>
      <color indexed="10"/>
      <name val="標楷體"/>
      <family val="4"/>
      <charset val="136"/>
    </font>
    <font>
      <b/>
      <sz val="20"/>
      <name val="標楷體"/>
      <family val="4"/>
      <charset val="136"/>
    </font>
    <font>
      <b/>
      <sz val="20"/>
      <color indexed="12"/>
      <name val="標楷體"/>
      <family val="4"/>
      <charset val="136"/>
    </font>
    <font>
      <b/>
      <sz val="20"/>
      <color rgb="FFFF0000"/>
      <name val="標楷體"/>
      <family val="4"/>
      <charset val="136"/>
    </font>
    <font>
      <sz val="14"/>
      <color theme="1"/>
      <name val="新細明體"/>
      <family val="2"/>
      <scheme val="minor"/>
    </font>
    <font>
      <b/>
      <sz val="20"/>
      <name val="華康明體 Std W12"/>
      <family val="1"/>
      <charset val="136"/>
    </font>
    <font>
      <b/>
      <sz val="20"/>
      <color theme="7"/>
      <name val="華康明體 Std W12"/>
      <family val="1"/>
      <charset val="136"/>
    </font>
    <font>
      <b/>
      <sz val="10"/>
      <color rgb="FF0000FF"/>
      <name val="微軟正黑體"/>
      <family val="2"/>
      <charset val="136"/>
    </font>
    <font>
      <b/>
      <sz val="20"/>
      <color theme="1"/>
      <name val="標楷體"/>
      <family val="4"/>
      <charset val="136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D9E1F2"/>
      </patternFill>
    </fill>
    <fill>
      <patternFill patternType="solid">
        <fgColor rgb="FFCCFFCC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4C6E7"/>
      </left>
      <right style="thin">
        <color rgb="FFB4C6E7"/>
      </right>
      <top style="medium">
        <color rgb="FF2F5597"/>
      </top>
      <bottom style="double">
        <color rgb="FF2F559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3" fontId="6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/>
    </xf>
    <xf numFmtId="0" fontId="14" fillId="0" borderId="0" xfId="0" applyFont="1"/>
    <xf numFmtId="0" fontId="11" fillId="10" borderId="3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5" fillId="0" borderId="3" xfId="0" applyFont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8" fillId="9" borderId="3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"/>
  <sheetViews>
    <sheetView tabSelected="1" zoomScale="60" zoomScaleNormal="60" workbookViewId="0">
      <selection activeCell="S28" sqref="S28"/>
    </sheetView>
  </sheetViews>
  <sheetFormatPr defaultRowHeight="19.5"/>
  <cols>
    <col min="1" max="1" width="21.140625" style="27" customWidth="1"/>
    <col min="2" max="2" width="6.5703125" style="27" bestFit="1" customWidth="1"/>
    <col min="3" max="3" width="15.140625" style="27" bestFit="1" customWidth="1"/>
    <col min="4" max="4" width="6.42578125" style="27" bestFit="1" customWidth="1"/>
    <col min="5" max="5" width="15.140625" style="27" bestFit="1" customWidth="1"/>
    <col min="6" max="6" width="5.85546875" style="27" bestFit="1" customWidth="1"/>
    <col min="7" max="7" width="15.140625" style="27" bestFit="1" customWidth="1"/>
    <col min="8" max="8" width="10.5703125" style="27" bestFit="1" customWidth="1"/>
    <col min="9" max="9" width="2.42578125" style="27" customWidth="1"/>
    <col min="10" max="10" width="13" style="27" bestFit="1" customWidth="1"/>
    <col min="11" max="11" width="6.5703125" style="27" bestFit="1" customWidth="1"/>
    <col min="12" max="12" width="15.140625" style="27" bestFit="1" customWidth="1"/>
    <col min="13" max="13" width="6.42578125" style="27" bestFit="1" customWidth="1"/>
    <col min="14" max="14" width="15.140625" style="27" bestFit="1" customWidth="1"/>
    <col min="15" max="15" width="5.85546875" style="27" bestFit="1" customWidth="1"/>
    <col min="16" max="16" width="15.140625" style="27" bestFit="1" customWidth="1"/>
    <col min="17" max="17" width="10.5703125" style="27" bestFit="1" customWidth="1"/>
    <col min="18" max="18" width="2" style="27" customWidth="1"/>
    <col min="19" max="19" width="13" style="27" bestFit="1" customWidth="1"/>
    <col min="20" max="20" width="6.5703125" style="27" bestFit="1" customWidth="1"/>
    <col min="21" max="21" width="15.140625" style="27" bestFit="1" customWidth="1"/>
    <col min="22" max="22" width="6.42578125" style="27" bestFit="1" customWidth="1"/>
    <col min="23" max="23" width="15.140625" style="27" bestFit="1" customWidth="1"/>
    <col min="24" max="24" width="6.5703125" style="27" bestFit="1" customWidth="1"/>
    <col min="25" max="25" width="15.140625" style="27" bestFit="1" customWidth="1"/>
    <col min="26" max="26" width="10.5703125" style="27" bestFit="1" customWidth="1"/>
    <col min="27" max="27" width="2.7109375" style="27" customWidth="1"/>
    <col min="28" max="28" width="17.5703125" style="27" bestFit="1" customWidth="1"/>
    <col min="29" max="29" width="6.5703125" style="27" bestFit="1" customWidth="1"/>
    <col min="30" max="30" width="15.140625" style="27" bestFit="1" customWidth="1"/>
    <col min="31" max="31" width="6.42578125" style="27" bestFit="1" customWidth="1"/>
    <col min="32" max="32" width="15.140625" style="27" bestFit="1" customWidth="1"/>
    <col min="33" max="33" width="5.85546875" style="27" bestFit="1" customWidth="1"/>
    <col min="34" max="34" width="15.140625" style="27" bestFit="1" customWidth="1"/>
    <col min="35" max="35" width="19.85546875" style="27" bestFit="1" customWidth="1"/>
    <col min="36" max="36" width="9.140625" style="27" customWidth="1"/>
    <col min="37" max="16384" width="9.140625" style="27"/>
  </cols>
  <sheetData>
    <row r="1" spans="1:35" ht="33" customHeight="1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8"/>
    </row>
    <row r="2" spans="1:35" ht="33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8"/>
    </row>
    <row r="3" spans="1:35" ht="83.25" customHeight="1">
      <c r="A3" s="24" t="s">
        <v>1</v>
      </c>
      <c r="B3" s="24" t="s">
        <v>2</v>
      </c>
      <c r="C3" s="24"/>
      <c r="D3" s="25" t="s">
        <v>3</v>
      </c>
      <c r="E3" s="25"/>
      <c r="F3" s="24" t="s">
        <v>4</v>
      </c>
      <c r="G3" s="24"/>
      <c r="H3" s="24" t="s">
        <v>5</v>
      </c>
      <c r="I3" s="26"/>
      <c r="J3" s="24" t="s">
        <v>1</v>
      </c>
      <c r="K3" s="24" t="s">
        <v>2</v>
      </c>
      <c r="L3" s="24"/>
      <c r="M3" s="25" t="s">
        <v>3</v>
      </c>
      <c r="N3" s="25"/>
      <c r="O3" s="24" t="s">
        <v>4</v>
      </c>
      <c r="P3" s="24"/>
      <c r="Q3" s="24" t="s">
        <v>5</v>
      </c>
      <c r="R3" s="26"/>
      <c r="S3" s="24" t="s">
        <v>1</v>
      </c>
      <c r="T3" s="24" t="s">
        <v>2</v>
      </c>
      <c r="U3" s="24"/>
      <c r="V3" s="25" t="s">
        <v>3</v>
      </c>
      <c r="W3" s="25"/>
      <c r="X3" s="24" t="s">
        <v>4</v>
      </c>
      <c r="Y3" s="24"/>
      <c r="Z3" s="24" t="s">
        <v>5</v>
      </c>
      <c r="AA3" s="26"/>
      <c r="AB3" s="24" t="s">
        <v>1</v>
      </c>
      <c r="AC3" s="24" t="s">
        <v>2</v>
      </c>
      <c r="AD3" s="24"/>
      <c r="AE3" s="25" t="s">
        <v>3</v>
      </c>
      <c r="AF3" s="25"/>
      <c r="AG3" s="24" t="s">
        <v>4</v>
      </c>
      <c r="AH3" s="24"/>
      <c r="AI3" s="24" t="s">
        <v>5</v>
      </c>
    </row>
    <row r="4" spans="1:35" ht="27.75" customHeight="1">
      <c r="A4" s="18" t="s">
        <v>6</v>
      </c>
      <c r="B4" s="19">
        <v>4</v>
      </c>
      <c r="C4" s="45" t="s">
        <v>7</v>
      </c>
      <c r="D4" s="19">
        <v>2</v>
      </c>
      <c r="E4" s="45" t="s">
        <v>7</v>
      </c>
      <c r="F4" s="18">
        <v>2</v>
      </c>
      <c r="G4" s="18" t="s">
        <v>8</v>
      </c>
      <c r="H4" s="18" t="s">
        <v>9</v>
      </c>
      <c r="I4" s="21"/>
      <c r="J4" s="18" t="s">
        <v>10</v>
      </c>
      <c r="K4" s="19">
        <v>4</v>
      </c>
      <c r="L4" s="47" t="s">
        <v>11</v>
      </c>
      <c r="M4" s="19">
        <v>1</v>
      </c>
      <c r="N4" s="17" t="s">
        <v>11</v>
      </c>
      <c r="O4" s="18"/>
      <c r="P4" s="18"/>
      <c r="Q4" s="18"/>
      <c r="R4" s="21"/>
      <c r="S4" s="18" t="s">
        <v>12</v>
      </c>
      <c r="T4" s="19">
        <v>2</v>
      </c>
      <c r="U4" s="17" t="s">
        <v>13</v>
      </c>
      <c r="V4" s="20">
        <v>1</v>
      </c>
      <c r="W4" s="17" t="s">
        <v>13</v>
      </c>
      <c r="X4" s="18">
        <v>2</v>
      </c>
      <c r="Y4" s="47" t="s">
        <v>13</v>
      </c>
      <c r="Z4" s="18" t="s">
        <v>14</v>
      </c>
      <c r="AA4" s="21"/>
      <c r="AB4" s="22" t="s">
        <v>15</v>
      </c>
      <c r="AC4" s="19">
        <v>3</v>
      </c>
      <c r="AD4" s="17" t="s">
        <v>16</v>
      </c>
      <c r="AE4" s="23">
        <v>1</v>
      </c>
      <c r="AF4" s="17" t="s">
        <v>16</v>
      </c>
      <c r="AG4" s="21">
        <v>1</v>
      </c>
      <c r="AH4" s="45" t="s">
        <v>11</v>
      </c>
      <c r="AI4" s="18" t="s">
        <v>17</v>
      </c>
    </row>
    <row r="5" spans="1:35" ht="27.75" customHeight="1">
      <c r="A5" s="18" t="s">
        <v>18</v>
      </c>
      <c r="B5" s="19">
        <v>4</v>
      </c>
      <c r="C5" s="45" t="s">
        <v>11</v>
      </c>
      <c r="D5" s="19">
        <v>2</v>
      </c>
      <c r="E5" s="18" t="s">
        <v>11</v>
      </c>
      <c r="F5" s="18">
        <v>2</v>
      </c>
      <c r="G5" s="18" t="s">
        <v>8</v>
      </c>
      <c r="H5" s="18" t="s">
        <v>9</v>
      </c>
      <c r="I5" s="21"/>
      <c r="J5" s="18" t="s">
        <v>19</v>
      </c>
      <c r="K5" s="19">
        <v>4</v>
      </c>
      <c r="L5" s="47" t="s">
        <v>8</v>
      </c>
      <c r="M5" s="19">
        <v>1</v>
      </c>
      <c r="N5" s="17" t="s">
        <v>8</v>
      </c>
      <c r="O5" s="18"/>
      <c r="P5" s="18"/>
      <c r="Q5" s="18"/>
      <c r="R5" s="21"/>
      <c r="S5" s="18" t="s">
        <v>20</v>
      </c>
      <c r="T5" s="19">
        <v>2</v>
      </c>
      <c r="U5" s="47" t="s">
        <v>21</v>
      </c>
      <c r="V5" s="20">
        <v>1</v>
      </c>
      <c r="W5" s="17" t="s">
        <v>21</v>
      </c>
      <c r="X5" s="18">
        <v>2</v>
      </c>
      <c r="Y5" s="47" t="s">
        <v>21</v>
      </c>
      <c r="Z5" s="18" t="s">
        <v>14</v>
      </c>
      <c r="AA5" s="21"/>
      <c r="AB5" s="18" t="s">
        <v>22</v>
      </c>
      <c r="AC5" s="19">
        <v>3</v>
      </c>
      <c r="AD5" s="17" t="s">
        <v>16</v>
      </c>
      <c r="AE5" s="23">
        <v>1</v>
      </c>
      <c r="AF5" s="17" t="s">
        <v>16</v>
      </c>
      <c r="AG5" s="21">
        <v>1</v>
      </c>
      <c r="AH5" s="45" t="s">
        <v>11</v>
      </c>
      <c r="AI5" s="18" t="s">
        <v>17</v>
      </c>
    </row>
    <row r="6" spans="1:35" ht="27.75" customHeight="1">
      <c r="A6" s="18" t="s">
        <v>23</v>
      </c>
      <c r="B6" s="18">
        <v>4</v>
      </c>
      <c r="C6" s="46" t="s">
        <v>21</v>
      </c>
      <c r="D6" s="18"/>
      <c r="E6" s="18"/>
      <c r="F6" s="18"/>
      <c r="G6" s="18"/>
      <c r="H6" s="18"/>
      <c r="I6" s="21"/>
      <c r="J6" s="18"/>
      <c r="K6" s="18"/>
      <c r="L6" s="45"/>
      <c r="M6" s="18"/>
      <c r="N6" s="18"/>
      <c r="O6" s="18"/>
      <c r="P6" s="18"/>
      <c r="Q6" s="18"/>
      <c r="R6" s="21"/>
      <c r="S6" s="18" t="s">
        <v>24</v>
      </c>
      <c r="T6" s="19">
        <v>2</v>
      </c>
      <c r="U6" s="47" t="s">
        <v>11</v>
      </c>
      <c r="V6" s="20">
        <v>1</v>
      </c>
      <c r="W6" s="17" t="s">
        <v>11</v>
      </c>
      <c r="X6" s="18">
        <v>2</v>
      </c>
      <c r="Y6" s="47" t="s">
        <v>11</v>
      </c>
      <c r="Z6" s="18" t="s">
        <v>14</v>
      </c>
      <c r="AA6" s="21"/>
      <c r="AB6" s="22" t="s">
        <v>25</v>
      </c>
      <c r="AC6" s="19">
        <v>3</v>
      </c>
      <c r="AD6" s="17" t="s">
        <v>13</v>
      </c>
      <c r="AE6" s="23">
        <v>1</v>
      </c>
      <c r="AF6" s="17" t="s">
        <v>13</v>
      </c>
      <c r="AG6" s="21">
        <v>1</v>
      </c>
      <c r="AH6" s="47" t="s">
        <v>21</v>
      </c>
      <c r="AI6" s="18" t="s">
        <v>17</v>
      </c>
    </row>
    <row r="7" spans="1:35" ht="27.75" customHeight="1">
      <c r="A7" s="18" t="s">
        <v>26</v>
      </c>
      <c r="B7" s="19">
        <v>2</v>
      </c>
      <c r="C7" s="45" t="s">
        <v>11</v>
      </c>
      <c r="D7" s="20"/>
      <c r="E7" s="20"/>
      <c r="F7" s="18"/>
      <c r="G7" s="18"/>
      <c r="H7" s="18"/>
      <c r="I7" s="21"/>
      <c r="J7" s="18" t="s">
        <v>27</v>
      </c>
      <c r="K7" s="19">
        <v>2</v>
      </c>
      <c r="L7" s="47" t="s">
        <v>28</v>
      </c>
      <c r="M7" s="20"/>
      <c r="N7" s="20"/>
      <c r="O7" s="18"/>
      <c r="P7" s="18"/>
      <c r="Q7" s="18"/>
      <c r="R7" s="21"/>
      <c r="S7" s="18" t="s">
        <v>29</v>
      </c>
      <c r="T7" s="19">
        <v>2</v>
      </c>
      <c r="U7" s="47" t="s">
        <v>13</v>
      </c>
      <c r="V7" s="20"/>
      <c r="W7" s="20"/>
      <c r="X7" s="18"/>
      <c r="Y7" s="45"/>
      <c r="Z7" s="18"/>
      <c r="AA7" s="21"/>
      <c r="AB7" s="18" t="s">
        <v>30</v>
      </c>
      <c r="AC7" s="19">
        <v>3</v>
      </c>
      <c r="AD7" s="17" t="s">
        <v>21</v>
      </c>
      <c r="AE7" s="23">
        <v>1</v>
      </c>
      <c r="AF7" s="17" t="s">
        <v>21</v>
      </c>
      <c r="AG7" s="21">
        <v>1</v>
      </c>
      <c r="AH7" s="47" t="s">
        <v>13</v>
      </c>
      <c r="AI7" s="18" t="s">
        <v>17</v>
      </c>
    </row>
    <row r="8" spans="1:35" ht="27.75" customHeight="1">
      <c r="A8" s="18" t="s">
        <v>31</v>
      </c>
      <c r="B8" s="19">
        <v>2</v>
      </c>
      <c r="C8" s="45" t="s">
        <v>11</v>
      </c>
      <c r="D8" s="20"/>
      <c r="E8" s="20"/>
      <c r="F8" s="18"/>
      <c r="G8" s="18"/>
      <c r="H8" s="18"/>
      <c r="I8" s="21"/>
      <c r="J8" s="18" t="s">
        <v>32</v>
      </c>
      <c r="K8" s="19">
        <v>2</v>
      </c>
      <c r="L8" s="47" t="s">
        <v>21</v>
      </c>
      <c r="M8" s="20"/>
      <c r="N8" s="20"/>
      <c r="O8" s="18"/>
      <c r="P8" s="18"/>
      <c r="Q8" s="18"/>
      <c r="R8" s="21"/>
      <c r="S8" s="18" t="s">
        <v>33</v>
      </c>
      <c r="T8" s="19">
        <v>2</v>
      </c>
      <c r="U8" s="45" t="s">
        <v>7</v>
      </c>
      <c r="V8" s="20"/>
      <c r="W8" s="20"/>
      <c r="X8" s="18"/>
      <c r="Y8" s="45"/>
      <c r="Z8" s="18"/>
      <c r="AA8" s="21"/>
      <c r="AB8" s="22" t="s">
        <v>34</v>
      </c>
      <c r="AC8" s="19">
        <v>3</v>
      </c>
      <c r="AD8" s="17" t="s">
        <v>28</v>
      </c>
      <c r="AE8" s="23">
        <v>1</v>
      </c>
      <c r="AF8" s="17" t="s">
        <v>28</v>
      </c>
      <c r="AG8" s="21">
        <v>1</v>
      </c>
      <c r="AH8" s="46" t="s">
        <v>7</v>
      </c>
      <c r="AI8" s="18" t="s">
        <v>17</v>
      </c>
    </row>
    <row r="9" spans="1:35" ht="27.75" customHeight="1">
      <c r="A9" s="18" t="s">
        <v>35</v>
      </c>
      <c r="B9" s="19">
        <v>2</v>
      </c>
      <c r="C9" s="47" t="s">
        <v>8</v>
      </c>
      <c r="D9" s="20"/>
      <c r="E9" s="20"/>
      <c r="F9" s="18"/>
      <c r="G9" s="18"/>
      <c r="H9" s="18"/>
      <c r="I9" s="21"/>
      <c r="J9" s="18" t="s">
        <v>36</v>
      </c>
      <c r="K9" s="19">
        <v>2</v>
      </c>
      <c r="L9" s="47" t="s">
        <v>21</v>
      </c>
      <c r="M9" s="20"/>
      <c r="N9" s="20"/>
      <c r="O9" s="18">
        <v>2</v>
      </c>
      <c r="P9" s="46" t="s">
        <v>21</v>
      </c>
      <c r="Q9" s="18" t="s">
        <v>37</v>
      </c>
      <c r="R9" s="21"/>
      <c r="S9" s="18" t="s">
        <v>38</v>
      </c>
      <c r="T9" s="19">
        <v>2</v>
      </c>
      <c r="U9" s="45" t="s">
        <v>39</v>
      </c>
      <c r="V9" s="20"/>
      <c r="W9" s="20"/>
      <c r="X9" s="18">
        <v>2</v>
      </c>
      <c r="Y9" s="45" t="s">
        <v>39</v>
      </c>
      <c r="Z9" s="18" t="s">
        <v>37</v>
      </c>
      <c r="AA9" s="21"/>
      <c r="AB9" s="22" t="s">
        <v>40</v>
      </c>
      <c r="AC9" s="19">
        <v>3</v>
      </c>
      <c r="AD9" s="17" t="s">
        <v>28</v>
      </c>
      <c r="AE9" s="23">
        <v>1</v>
      </c>
      <c r="AF9" s="17" t="s">
        <v>28</v>
      </c>
      <c r="AG9" s="21">
        <v>1</v>
      </c>
      <c r="AH9" s="46" t="s">
        <v>7</v>
      </c>
      <c r="AI9" s="18" t="s">
        <v>17</v>
      </c>
    </row>
    <row r="10" spans="1:35" ht="27.75" customHeight="1">
      <c r="A10" s="18" t="s">
        <v>41</v>
      </c>
      <c r="B10" s="19">
        <v>2</v>
      </c>
      <c r="C10" s="47" t="s">
        <v>28</v>
      </c>
      <c r="D10" s="20"/>
      <c r="E10" s="20"/>
      <c r="F10" s="18"/>
      <c r="G10" s="18"/>
      <c r="H10" s="18"/>
      <c r="I10" s="21"/>
      <c r="J10" s="18" t="s">
        <v>42</v>
      </c>
      <c r="K10" s="19">
        <v>2</v>
      </c>
      <c r="L10" s="46" t="s">
        <v>16</v>
      </c>
      <c r="M10" s="20"/>
      <c r="N10" s="20"/>
      <c r="O10" s="18">
        <v>2</v>
      </c>
      <c r="P10" s="46" t="s">
        <v>16</v>
      </c>
      <c r="Q10" s="18" t="s">
        <v>37</v>
      </c>
      <c r="R10" s="21"/>
      <c r="S10" s="18" t="s">
        <v>43</v>
      </c>
      <c r="T10" s="19">
        <v>2</v>
      </c>
      <c r="U10" s="47" t="s">
        <v>16</v>
      </c>
      <c r="V10" s="20"/>
      <c r="W10" s="20"/>
      <c r="X10" s="18">
        <v>2</v>
      </c>
      <c r="Y10" s="47" t="s">
        <v>16</v>
      </c>
      <c r="Z10" s="18" t="s">
        <v>37</v>
      </c>
      <c r="AA10" s="21"/>
      <c r="AB10" s="18"/>
      <c r="AC10" s="19"/>
      <c r="AD10" s="19"/>
      <c r="AE10" s="18"/>
      <c r="AF10" s="18"/>
      <c r="AG10" s="18"/>
      <c r="AH10" s="18"/>
      <c r="AI10" s="18"/>
    </row>
    <row r="11" spans="1:35" ht="27.75" customHeight="1">
      <c r="A11" s="18" t="s">
        <v>44</v>
      </c>
      <c r="B11" s="19">
        <v>2</v>
      </c>
      <c r="C11" s="46" t="s">
        <v>39</v>
      </c>
      <c r="D11" s="20"/>
      <c r="E11" s="20"/>
      <c r="F11" s="18"/>
      <c r="G11" s="18"/>
      <c r="H11" s="18"/>
      <c r="I11" s="21"/>
      <c r="J11" s="18" t="s">
        <v>45</v>
      </c>
      <c r="K11" s="19">
        <v>2</v>
      </c>
      <c r="L11" s="45" t="s">
        <v>39</v>
      </c>
      <c r="M11" s="20"/>
      <c r="N11" s="20"/>
      <c r="O11" s="18">
        <v>2</v>
      </c>
      <c r="P11" s="46" t="s">
        <v>39</v>
      </c>
      <c r="Q11" s="18" t="s">
        <v>37</v>
      </c>
      <c r="R11" s="21"/>
      <c r="S11" s="18" t="s">
        <v>46</v>
      </c>
      <c r="T11" s="19">
        <v>2</v>
      </c>
      <c r="U11" s="47" t="s">
        <v>13</v>
      </c>
      <c r="V11" s="20"/>
      <c r="W11" s="20"/>
      <c r="X11" s="18">
        <v>2</v>
      </c>
      <c r="Y11" s="47" t="s">
        <v>13</v>
      </c>
      <c r="Z11" s="18" t="s">
        <v>37</v>
      </c>
      <c r="AA11" s="21"/>
      <c r="AB11" s="18"/>
      <c r="AC11" s="19"/>
      <c r="AD11" s="19"/>
      <c r="AE11" s="20"/>
      <c r="AF11" s="20"/>
      <c r="AG11" s="18"/>
      <c r="AH11" s="18"/>
      <c r="AI11" s="18"/>
    </row>
    <row r="12" spans="1:35" ht="27.75" customHeight="1">
      <c r="A12" s="18" t="s">
        <v>47</v>
      </c>
      <c r="B12" s="19">
        <v>2</v>
      </c>
      <c r="C12" s="47" t="s">
        <v>8</v>
      </c>
      <c r="D12" s="20"/>
      <c r="E12" s="20"/>
      <c r="F12" s="18"/>
      <c r="G12" s="18"/>
      <c r="H12" s="18"/>
      <c r="I12" s="21"/>
      <c r="J12" s="18" t="s">
        <v>48</v>
      </c>
      <c r="K12" s="19">
        <v>2</v>
      </c>
      <c r="L12" s="46" t="s">
        <v>28</v>
      </c>
      <c r="M12" s="20"/>
      <c r="N12" s="20"/>
      <c r="O12" s="18">
        <v>2</v>
      </c>
      <c r="P12" s="28" t="s">
        <v>28</v>
      </c>
      <c r="Q12" s="18" t="s">
        <v>37</v>
      </c>
      <c r="R12" s="21"/>
      <c r="S12" s="18" t="s">
        <v>49</v>
      </c>
      <c r="T12" s="19">
        <v>2</v>
      </c>
      <c r="U12" s="45" t="s">
        <v>7</v>
      </c>
      <c r="V12" s="20"/>
      <c r="W12" s="20"/>
      <c r="X12" s="18">
        <v>2</v>
      </c>
      <c r="Y12" s="45" t="s">
        <v>7</v>
      </c>
      <c r="Z12" s="18" t="s">
        <v>37</v>
      </c>
      <c r="AA12" s="21"/>
      <c r="AB12" s="18"/>
      <c r="AC12" s="19"/>
      <c r="AD12" s="19"/>
      <c r="AE12" s="20"/>
      <c r="AF12" s="20"/>
      <c r="AG12" s="18"/>
      <c r="AH12" s="18"/>
      <c r="AI12" s="18"/>
    </row>
    <row r="13" spans="1:35" ht="27.75" customHeight="1">
      <c r="A13" s="18" t="s">
        <v>50</v>
      </c>
      <c r="B13" s="19">
        <v>2</v>
      </c>
      <c r="C13" s="47" t="s">
        <v>8</v>
      </c>
      <c r="D13" s="20"/>
      <c r="E13" s="20"/>
      <c r="F13" s="18"/>
      <c r="G13" s="18"/>
      <c r="H13" s="18"/>
      <c r="I13" s="21"/>
      <c r="J13" s="18" t="s">
        <v>51</v>
      </c>
      <c r="K13" s="19">
        <v>2</v>
      </c>
      <c r="L13" s="46" t="s">
        <v>39</v>
      </c>
      <c r="M13" s="20"/>
      <c r="N13" s="20"/>
      <c r="O13" s="18"/>
      <c r="P13" s="18"/>
      <c r="Q13" s="18"/>
      <c r="R13" s="21"/>
      <c r="S13" s="18" t="s">
        <v>52</v>
      </c>
      <c r="T13" s="19">
        <v>2</v>
      </c>
      <c r="U13" s="46" t="s">
        <v>13</v>
      </c>
      <c r="V13" s="20"/>
      <c r="W13" s="20"/>
      <c r="X13" s="18"/>
      <c r="Y13" s="18"/>
      <c r="Z13" s="18"/>
      <c r="AA13" s="21"/>
      <c r="AB13" s="18"/>
      <c r="AC13" s="19"/>
      <c r="AD13" s="19"/>
      <c r="AE13" s="19"/>
      <c r="AF13" s="19"/>
      <c r="AG13" s="19"/>
      <c r="AH13" s="19"/>
      <c r="AI13" s="18"/>
    </row>
    <row r="14" spans="1:35" ht="27.75" customHeight="1">
      <c r="A14" s="18" t="s">
        <v>53</v>
      </c>
      <c r="B14" s="19">
        <v>2</v>
      </c>
      <c r="C14" s="45" t="s">
        <v>39</v>
      </c>
      <c r="D14" s="20"/>
      <c r="E14" s="20"/>
      <c r="F14" s="18"/>
      <c r="G14" s="18"/>
      <c r="H14" s="18"/>
      <c r="I14" s="21"/>
      <c r="J14" s="18" t="s">
        <v>54</v>
      </c>
      <c r="K14" s="19">
        <v>2</v>
      </c>
      <c r="L14" s="46" t="s">
        <v>21</v>
      </c>
      <c r="M14" s="20"/>
      <c r="N14" s="20"/>
      <c r="O14" s="18"/>
      <c r="P14" s="18"/>
      <c r="Q14" s="18"/>
      <c r="R14" s="21"/>
      <c r="S14" s="18" t="s">
        <v>55</v>
      </c>
      <c r="T14" s="19">
        <v>2</v>
      </c>
      <c r="U14" s="47" t="s">
        <v>28</v>
      </c>
      <c r="V14" s="20"/>
      <c r="W14" s="20"/>
      <c r="X14" s="18"/>
      <c r="Y14" s="18"/>
      <c r="Z14" s="18"/>
      <c r="AA14" s="21"/>
      <c r="AB14" s="18"/>
      <c r="AC14" s="19"/>
      <c r="AD14" s="19"/>
      <c r="AE14" s="19"/>
      <c r="AF14" s="19"/>
      <c r="AG14" s="19"/>
      <c r="AH14" s="19"/>
      <c r="AI14" s="18"/>
    </row>
    <row r="15" spans="1:35" ht="27.75" customHeight="1">
      <c r="A15" s="18" t="s">
        <v>56</v>
      </c>
      <c r="B15" s="19">
        <v>2</v>
      </c>
      <c r="C15" s="47" t="s">
        <v>8</v>
      </c>
      <c r="D15" s="20"/>
      <c r="E15" s="20"/>
      <c r="F15" s="18"/>
      <c r="G15" s="18"/>
      <c r="H15" s="18"/>
      <c r="I15" s="21"/>
      <c r="J15" s="18" t="s">
        <v>57</v>
      </c>
      <c r="K15" s="19">
        <v>2</v>
      </c>
      <c r="L15" s="45" t="s">
        <v>39</v>
      </c>
      <c r="M15" s="20"/>
      <c r="N15" s="20"/>
      <c r="O15" s="18"/>
      <c r="P15" s="18"/>
      <c r="Q15" s="18"/>
      <c r="R15" s="21"/>
      <c r="S15" s="18" t="s">
        <v>58</v>
      </c>
      <c r="T15" s="19">
        <v>2</v>
      </c>
      <c r="U15" s="45" t="s">
        <v>39</v>
      </c>
      <c r="V15" s="20"/>
      <c r="W15" s="20"/>
      <c r="X15" s="18"/>
      <c r="Y15" s="18"/>
      <c r="Z15" s="18"/>
      <c r="AA15" s="21"/>
      <c r="AB15" s="18"/>
      <c r="AC15" s="19"/>
      <c r="AD15" s="19"/>
      <c r="AE15" s="19"/>
      <c r="AF15" s="19"/>
      <c r="AG15" s="19"/>
      <c r="AH15" s="19"/>
      <c r="AI15" s="18"/>
    </row>
    <row r="16" spans="1:35" ht="27.75" customHeight="1">
      <c r="A16" s="18" t="s">
        <v>59</v>
      </c>
      <c r="B16" s="19">
        <v>2</v>
      </c>
      <c r="C16" s="47" t="s">
        <v>16</v>
      </c>
      <c r="D16" s="20"/>
      <c r="E16" s="20"/>
      <c r="F16" s="18"/>
      <c r="G16" s="18"/>
      <c r="H16" s="18"/>
      <c r="I16" s="21"/>
      <c r="J16" s="18" t="s">
        <v>60</v>
      </c>
      <c r="K16" s="19">
        <v>2</v>
      </c>
      <c r="L16" s="46" t="s">
        <v>7</v>
      </c>
      <c r="M16" s="20"/>
      <c r="N16" s="20"/>
      <c r="O16" s="18"/>
      <c r="P16" s="18"/>
      <c r="Q16" s="18"/>
      <c r="R16" s="21"/>
      <c r="S16" s="18" t="s">
        <v>61</v>
      </c>
      <c r="T16" s="19">
        <v>2</v>
      </c>
      <c r="U16" s="47" t="s">
        <v>8</v>
      </c>
      <c r="V16" s="20"/>
      <c r="W16" s="20"/>
      <c r="X16" s="18"/>
      <c r="Y16" s="18"/>
      <c r="Z16" s="18"/>
      <c r="AA16" s="21"/>
      <c r="AB16" s="18"/>
      <c r="AC16" s="19"/>
      <c r="AD16" s="19"/>
      <c r="AE16" s="19"/>
      <c r="AF16" s="19"/>
      <c r="AG16" s="19"/>
      <c r="AH16" s="19"/>
      <c r="AI16" s="18"/>
    </row>
    <row r="17" spans="1:35" ht="27.75" customHeight="1">
      <c r="A17" s="18" t="s">
        <v>62</v>
      </c>
      <c r="B17" s="19">
        <v>2</v>
      </c>
      <c r="C17" s="47" t="s">
        <v>16</v>
      </c>
      <c r="D17" s="20"/>
      <c r="E17" s="20"/>
      <c r="F17" s="18"/>
      <c r="G17" s="18"/>
      <c r="H17" s="18"/>
      <c r="I17" s="21"/>
      <c r="J17" s="18" t="s">
        <v>63</v>
      </c>
      <c r="K17" s="19">
        <v>2</v>
      </c>
      <c r="L17" s="47" t="s">
        <v>7</v>
      </c>
      <c r="M17" s="20"/>
      <c r="N17" s="20"/>
      <c r="O17" s="18"/>
      <c r="P17" s="18"/>
      <c r="Q17" s="18"/>
      <c r="R17" s="21"/>
      <c r="S17" s="18" t="s">
        <v>64</v>
      </c>
      <c r="T17" s="19">
        <v>2</v>
      </c>
      <c r="U17" s="47" t="s">
        <v>8</v>
      </c>
      <c r="V17" s="20"/>
      <c r="W17" s="20"/>
      <c r="X17" s="18"/>
      <c r="Y17" s="18"/>
      <c r="Z17" s="18"/>
      <c r="AA17" s="21"/>
      <c r="AB17" s="18"/>
      <c r="AC17" s="19"/>
      <c r="AD17" s="19"/>
      <c r="AE17" s="19"/>
      <c r="AF17" s="19"/>
      <c r="AG17" s="19"/>
      <c r="AH17" s="19"/>
      <c r="AI17" s="18"/>
    </row>
    <row r="18" spans="1:35" ht="27.75" customHeight="1">
      <c r="A18" s="18" t="s">
        <v>65</v>
      </c>
      <c r="B18" s="18">
        <f>SUM(B4:B17)</f>
        <v>34</v>
      </c>
      <c r="C18" s="18"/>
      <c r="D18" s="18">
        <f>SUM(D4:D17)</f>
        <v>4</v>
      </c>
      <c r="E18" s="18"/>
      <c r="F18" s="18">
        <f>SUM(F4:F17)</f>
        <v>4</v>
      </c>
      <c r="G18" s="18"/>
      <c r="H18" s="18"/>
      <c r="I18" s="18"/>
      <c r="J18" s="18" t="s">
        <v>65</v>
      </c>
      <c r="K18" s="18">
        <f>SUM(K4:K17)</f>
        <v>30</v>
      </c>
      <c r="L18" s="18"/>
      <c r="M18" s="18">
        <f>SUM(M4:M17)</f>
        <v>2</v>
      </c>
      <c r="N18" s="18"/>
      <c r="O18" s="18">
        <f>SUM(O4:O17)</f>
        <v>8</v>
      </c>
      <c r="P18" s="18"/>
      <c r="Q18" s="18"/>
      <c r="R18" s="18"/>
      <c r="S18" s="18" t="s">
        <v>65</v>
      </c>
      <c r="T18" s="18">
        <f>SUM(T4:T17)</f>
        <v>28</v>
      </c>
      <c r="U18" s="18"/>
      <c r="V18" s="18">
        <f>SUM(V4:V17)</f>
        <v>3</v>
      </c>
      <c r="W18" s="18"/>
      <c r="X18" s="18">
        <f>SUM(X4:X17)</f>
        <v>14</v>
      </c>
      <c r="Y18" s="18"/>
      <c r="Z18" s="18"/>
      <c r="AA18" s="21"/>
      <c r="AB18" s="18" t="s">
        <v>65</v>
      </c>
      <c r="AC18" s="18">
        <f>SUM(AC4:AC17)</f>
        <v>18</v>
      </c>
      <c r="AD18" s="18"/>
      <c r="AE18" s="18">
        <f>SUM(AE4:AE17)</f>
        <v>6</v>
      </c>
      <c r="AF18" s="18"/>
      <c r="AG18" s="18">
        <f>SUM(AG4:AG17)</f>
        <v>6</v>
      </c>
      <c r="AH18" s="18"/>
      <c r="AI18" s="18"/>
    </row>
    <row r="19" spans="1:35" ht="27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40" t="s">
        <v>66</v>
      </c>
      <c r="AF19" s="37"/>
      <c r="AG19" s="38"/>
      <c r="AH19" s="18"/>
      <c r="AI19" s="18">
        <f>B18+D18+F18+K18+M18+O18+T18+V18+X18+AC18+AE18+AG18</f>
        <v>157</v>
      </c>
    </row>
  </sheetData>
  <mergeCells count="3">
    <mergeCell ref="A2:AI2"/>
    <mergeCell ref="A1:AI1"/>
    <mergeCell ref="AE19:AG19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pane ySplit="4" topLeftCell="A5" activePane="bottomLeft" state="frozen"/>
      <selection pane="bottomLeft" activeCell="G8" sqref="G8"/>
    </sheetView>
  </sheetViews>
  <sheetFormatPr defaultRowHeight="15.75"/>
  <cols>
    <col min="1" max="1" width="8" customWidth="1"/>
    <col min="2" max="2" width="14" customWidth="1"/>
    <col min="3" max="4" width="10" customWidth="1"/>
    <col min="5" max="6" width="14" customWidth="1"/>
    <col min="7" max="7" width="15.5703125" customWidth="1"/>
    <col min="8" max="8" width="75" customWidth="1"/>
  </cols>
  <sheetData>
    <row r="1" spans="1:8" ht="39.950000000000003" customHeight="1">
      <c r="A1" s="43" t="s">
        <v>67</v>
      </c>
      <c r="B1" s="42"/>
      <c r="C1" s="42"/>
      <c r="D1" s="42"/>
      <c r="E1" s="42"/>
      <c r="F1" s="42"/>
      <c r="G1" s="42"/>
      <c r="H1" s="42"/>
    </row>
    <row r="2" spans="1:8" ht="20.100000000000001" customHeight="1">
      <c r="A2" s="41" t="s">
        <v>68</v>
      </c>
      <c r="B2" s="42"/>
      <c r="C2" s="42"/>
      <c r="D2" s="42"/>
      <c r="E2" s="42"/>
      <c r="F2" s="42"/>
      <c r="G2" s="42"/>
      <c r="H2" s="42"/>
    </row>
    <row r="4" spans="1:8" ht="30" customHeight="1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</row>
    <row r="5" spans="1:8" ht="35.25" customHeight="1">
      <c r="A5" s="2">
        <v>1</v>
      </c>
      <c r="B5" s="2" t="s">
        <v>39</v>
      </c>
      <c r="C5" s="6">
        <v>14</v>
      </c>
      <c r="D5" s="6">
        <v>4</v>
      </c>
      <c r="E5" s="7">
        <f t="shared" ref="E5:E12" si="0">C5+D5</f>
        <v>18</v>
      </c>
      <c r="F5" s="8">
        <v>0</v>
      </c>
      <c r="G5" s="7">
        <f t="shared" ref="G5:G12" si="1">E5+F5</f>
        <v>18</v>
      </c>
      <c r="H5" s="29" t="s">
        <v>77</v>
      </c>
    </row>
    <row r="6" spans="1:8" ht="48" customHeight="1">
      <c r="A6" s="3">
        <v>2</v>
      </c>
      <c r="B6" s="3" t="s">
        <v>16</v>
      </c>
      <c r="C6" s="10">
        <v>14</v>
      </c>
      <c r="D6" s="10">
        <v>4</v>
      </c>
      <c r="E6" s="11">
        <f t="shared" si="0"/>
        <v>18</v>
      </c>
      <c r="F6" s="12">
        <v>2</v>
      </c>
      <c r="G6" s="11">
        <f t="shared" si="1"/>
        <v>20</v>
      </c>
      <c r="H6" s="13" t="s">
        <v>78</v>
      </c>
    </row>
    <row r="7" spans="1:8" ht="45.75" customHeight="1">
      <c r="A7" s="2">
        <v>3</v>
      </c>
      <c r="B7" s="2" t="s">
        <v>8</v>
      </c>
      <c r="C7" s="6">
        <v>16</v>
      </c>
      <c r="D7" s="6">
        <v>4</v>
      </c>
      <c r="E7" s="7">
        <f t="shared" si="0"/>
        <v>20</v>
      </c>
      <c r="F7" s="8">
        <v>1</v>
      </c>
      <c r="G7" s="7">
        <f t="shared" si="1"/>
        <v>21</v>
      </c>
      <c r="H7" s="9" t="s">
        <v>79</v>
      </c>
    </row>
    <row r="8" spans="1:8" ht="42.75" customHeight="1">
      <c r="A8" s="3">
        <v>4</v>
      </c>
      <c r="B8" s="3" t="s">
        <v>11</v>
      </c>
      <c r="C8" s="10">
        <v>14</v>
      </c>
      <c r="D8" s="10">
        <v>4</v>
      </c>
      <c r="E8" s="11">
        <f t="shared" si="0"/>
        <v>18</v>
      </c>
      <c r="F8" s="12">
        <v>4</v>
      </c>
      <c r="G8" s="11">
        <f t="shared" si="1"/>
        <v>22</v>
      </c>
      <c r="H8" s="13" t="s">
        <v>80</v>
      </c>
    </row>
    <row r="9" spans="1:8" ht="47.25" customHeight="1">
      <c r="A9" s="2">
        <v>5</v>
      </c>
      <c r="B9" s="2" t="s">
        <v>28</v>
      </c>
      <c r="C9" s="6">
        <v>14</v>
      </c>
      <c r="D9" s="6">
        <v>2</v>
      </c>
      <c r="E9" s="7">
        <f t="shared" si="0"/>
        <v>16</v>
      </c>
      <c r="F9" s="8">
        <v>2</v>
      </c>
      <c r="G9" s="7">
        <f t="shared" si="1"/>
        <v>18</v>
      </c>
      <c r="H9" s="29" t="s">
        <v>81</v>
      </c>
    </row>
    <row r="10" spans="1:8" ht="45" customHeight="1">
      <c r="A10" s="3">
        <v>6</v>
      </c>
      <c r="B10" s="3" t="s">
        <v>7</v>
      </c>
      <c r="C10" s="10">
        <v>12</v>
      </c>
      <c r="D10" s="10">
        <v>4</v>
      </c>
      <c r="E10" s="11">
        <f t="shared" si="0"/>
        <v>16</v>
      </c>
      <c r="F10" s="12">
        <v>2</v>
      </c>
      <c r="G10" s="11">
        <f t="shared" si="1"/>
        <v>18</v>
      </c>
      <c r="H10" s="30" t="s">
        <v>82</v>
      </c>
    </row>
    <row r="11" spans="1:8" ht="43.5" customHeight="1">
      <c r="A11" s="2">
        <v>7</v>
      </c>
      <c r="B11" s="2" t="s">
        <v>21</v>
      </c>
      <c r="C11" s="6">
        <v>15</v>
      </c>
      <c r="D11" s="6">
        <v>5</v>
      </c>
      <c r="E11" s="7">
        <f t="shared" si="0"/>
        <v>20</v>
      </c>
      <c r="F11" s="8">
        <v>2</v>
      </c>
      <c r="G11" s="7">
        <f t="shared" si="1"/>
        <v>22</v>
      </c>
      <c r="H11" s="29" t="s">
        <v>83</v>
      </c>
    </row>
    <row r="12" spans="1:8" ht="51.75" customHeight="1">
      <c r="A12" s="3">
        <v>8</v>
      </c>
      <c r="B12" s="3" t="s">
        <v>13</v>
      </c>
      <c r="C12" s="10">
        <v>11</v>
      </c>
      <c r="D12" s="10">
        <v>5</v>
      </c>
      <c r="E12" s="11">
        <f t="shared" si="0"/>
        <v>16</v>
      </c>
      <c r="F12" s="12">
        <v>2</v>
      </c>
      <c r="G12" s="11">
        <f t="shared" si="1"/>
        <v>18</v>
      </c>
      <c r="H12" s="13" t="s">
        <v>84</v>
      </c>
    </row>
    <row r="13" spans="1:8" ht="27.95" customHeight="1">
      <c r="A13" s="14"/>
      <c r="B13" s="4" t="s">
        <v>65</v>
      </c>
      <c r="C13" s="15">
        <f>SUM(C5:C12)</f>
        <v>110</v>
      </c>
      <c r="D13" s="15">
        <f>SUM(D5:D12)</f>
        <v>32</v>
      </c>
      <c r="E13" s="15">
        <f>SUM(E5:E12)</f>
        <v>142</v>
      </c>
      <c r="F13" s="15">
        <f>SUM(F5:F12)</f>
        <v>15</v>
      </c>
      <c r="G13" s="15">
        <f>SUM(G5:G12)</f>
        <v>157</v>
      </c>
      <c r="H13" s="31" t="s">
        <v>85</v>
      </c>
    </row>
  </sheetData>
  <mergeCells count="2">
    <mergeCell ref="A2:H2"/>
    <mergeCell ref="A1:H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>
      <pane ySplit="3" topLeftCell="A4" activePane="bottomLeft" state="frozen"/>
      <selection pane="bottomLeft" activeCell="K8" sqref="K8"/>
    </sheetView>
  </sheetViews>
  <sheetFormatPr defaultRowHeight="15.75"/>
  <cols>
    <col min="1" max="2" width="12" style="16" customWidth="1"/>
    <col min="3" max="3" width="10" style="16" customWidth="1"/>
    <col min="4" max="4" width="12" style="16" customWidth="1"/>
    <col min="5" max="5" width="10" style="16" customWidth="1"/>
    <col min="6" max="6" width="12" style="16" customWidth="1"/>
    <col min="7" max="9" width="14" style="16" customWidth="1"/>
    <col min="10" max="11" width="12" style="16" customWidth="1"/>
  </cols>
  <sheetData>
    <row r="1" spans="1:11" ht="36" customHeight="1">
      <c r="A1" s="43" t="s">
        <v>86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3" spans="1:11" ht="24.95" customHeight="1">
      <c r="A3" s="5" t="s">
        <v>87</v>
      </c>
      <c r="B3" s="5" t="s">
        <v>1</v>
      </c>
      <c r="C3" s="5" t="s">
        <v>71</v>
      </c>
      <c r="D3" s="5" t="s">
        <v>88</v>
      </c>
      <c r="E3" s="5" t="s">
        <v>72</v>
      </c>
      <c r="F3" s="5" t="s">
        <v>89</v>
      </c>
      <c r="G3" s="5" t="s">
        <v>90</v>
      </c>
      <c r="H3" s="5" t="s">
        <v>91</v>
      </c>
      <c r="I3" s="5" t="s">
        <v>74</v>
      </c>
      <c r="J3" s="5" t="s">
        <v>92</v>
      </c>
      <c r="K3" s="5" t="s">
        <v>93</v>
      </c>
    </row>
    <row r="4" spans="1:11" ht="20.100000000000001" customHeight="1">
      <c r="A4" s="3" t="s">
        <v>94</v>
      </c>
      <c r="B4" s="3" t="s">
        <v>95</v>
      </c>
      <c r="C4" s="10">
        <v>4</v>
      </c>
      <c r="D4" s="3" t="s">
        <v>7</v>
      </c>
      <c r="E4" s="10">
        <v>2</v>
      </c>
      <c r="F4" s="3" t="s">
        <v>8</v>
      </c>
      <c r="G4" s="3" t="s">
        <v>9</v>
      </c>
      <c r="H4" s="11">
        <f t="shared" ref="H4:H50" si="0">C4+E4</f>
        <v>6</v>
      </c>
      <c r="I4" s="12">
        <v>2</v>
      </c>
      <c r="J4" s="3" t="s">
        <v>7</v>
      </c>
      <c r="K4" s="11">
        <f t="shared" ref="K4:K50" si="1">H4+I4</f>
        <v>8</v>
      </c>
    </row>
    <row r="5" spans="1:11" ht="20.100000000000001" customHeight="1">
      <c r="A5" s="2" t="s">
        <v>96</v>
      </c>
      <c r="B5" s="2" t="s">
        <v>10</v>
      </c>
      <c r="C5" s="6">
        <v>4</v>
      </c>
      <c r="D5" s="2" t="s">
        <v>11</v>
      </c>
      <c r="E5" s="6">
        <v>0</v>
      </c>
      <c r="F5" s="2" t="s">
        <v>97</v>
      </c>
      <c r="G5" s="2" t="s">
        <v>97</v>
      </c>
      <c r="H5" s="7">
        <f t="shared" si="0"/>
        <v>4</v>
      </c>
      <c r="I5" s="8">
        <v>1</v>
      </c>
      <c r="J5" s="2" t="s">
        <v>11</v>
      </c>
      <c r="K5" s="7">
        <f t="shared" si="1"/>
        <v>5</v>
      </c>
    </row>
    <row r="6" spans="1:11" ht="20.100000000000001" customHeight="1">
      <c r="A6" s="3" t="s">
        <v>98</v>
      </c>
      <c r="B6" s="3" t="s">
        <v>12</v>
      </c>
      <c r="C6" s="10">
        <v>2</v>
      </c>
      <c r="D6" s="3" t="s">
        <v>13</v>
      </c>
      <c r="E6" s="10">
        <v>2</v>
      </c>
      <c r="F6" s="3" t="s">
        <v>13</v>
      </c>
      <c r="G6" s="3" t="s">
        <v>14</v>
      </c>
      <c r="H6" s="11">
        <f t="shared" si="0"/>
        <v>4</v>
      </c>
      <c r="I6" s="12">
        <v>1</v>
      </c>
      <c r="J6" s="3" t="s">
        <v>13</v>
      </c>
      <c r="K6" s="11">
        <f t="shared" si="1"/>
        <v>5</v>
      </c>
    </row>
    <row r="7" spans="1:11" ht="20.100000000000001" customHeight="1">
      <c r="A7" s="2" t="s">
        <v>99</v>
      </c>
      <c r="B7" s="2" t="s">
        <v>15</v>
      </c>
      <c r="C7" s="6">
        <v>3</v>
      </c>
      <c r="D7" s="2" t="s">
        <v>16</v>
      </c>
      <c r="E7" s="6">
        <v>1</v>
      </c>
      <c r="F7" s="32" t="s">
        <v>11</v>
      </c>
      <c r="G7" s="2" t="s">
        <v>17</v>
      </c>
      <c r="H7" s="7">
        <f t="shared" si="0"/>
        <v>4</v>
      </c>
      <c r="I7" s="8">
        <v>1</v>
      </c>
      <c r="J7" s="2" t="s">
        <v>16</v>
      </c>
      <c r="K7" s="7">
        <f t="shared" si="1"/>
        <v>5</v>
      </c>
    </row>
    <row r="8" spans="1:11" ht="20.100000000000001" customHeight="1">
      <c r="A8" s="3" t="s">
        <v>94</v>
      </c>
      <c r="B8" s="3" t="s">
        <v>100</v>
      </c>
      <c r="C8" s="10">
        <v>4</v>
      </c>
      <c r="D8" s="3" t="s">
        <v>11</v>
      </c>
      <c r="E8" s="10">
        <v>2</v>
      </c>
      <c r="F8" s="3" t="s">
        <v>8</v>
      </c>
      <c r="G8" s="3" t="s">
        <v>9</v>
      </c>
      <c r="H8" s="11">
        <f t="shared" si="0"/>
        <v>6</v>
      </c>
      <c r="I8" s="12">
        <v>2</v>
      </c>
      <c r="J8" s="3" t="s">
        <v>11</v>
      </c>
      <c r="K8" s="11">
        <f t="shared" si="1"/>
        <v>8</v>
      </c>
    </row>
    <row r="9" spans="1:11" ht="20.100000000000001" customHeight="1">
      <c r="A9" s="2" t="s">
        <v>96</v>
      </c>
      <c r="B9" s="2" t="s">
        <v>19</v>
      </c>
      <c r="C9" s="6">
        <v>4</v>
      </c>
      <c r="D9" s="2" t="s">
        <v>8</v>
      </c>
      <c r="E9" s="6">
        <v>0</v>
      </c>
      <c r="F9" s="2" t="s">
        <v>97</v>
      </c>
      <c r="G9" s="2" t="s">
        <v>97</v>
      </c>
      <c r="H9" s="7">
        <f t="shared" si="0"/>
        <v>4</v>
      </c>
      <c r="I9" s="8">
        <v>1</v>
      </c>
      <c r="J9" s="2" t="s">
        <v>8</v>
      </c>
      <c r="K9" s="7">
        <f t="shared" si="1"/>
        <v>5</v>
      </c>
    </row>
    <row r="10" spans="1:11" ht="20.100000000000001" customHeight="1">
      <c r="A10" s="3" t="s">
        <v>98</v>
      </c>
      <c r="B10" s="3" t="s">
        <v>20</v>
      </c>
      <c r="C10" s="10">
        <v>2</v>
      </c>
      <c r="D10" s="3" t="s">
        <v>21</v>
      </c>
      <c r="E10" s="10">
        <v>2</v>
      </c>
      <c r="F10" s="3" t="s">
        <v>21</v>
      </c>
      <c r="G10" s="3" t="s">
        <v>14</v>
      </c>
      <c r="H10" s="11">
        <f t="shared" si="0"/>
        <v>4</v>
      </c>
      <c r="I10" s="12">
        <v>1</v>
      </c>
      <c r="J10" s="3" t="s">
        <v>21</v>
      </c>
      <c r="K10" s="11">
        <f t="shared" si="1"/>
        <v>5</v>
      </c>
    </row>
    <row r="11" spans="1:11" ht="20.100000000000001" customHeight="1">
      <c r="A11" s="2" t="s">
        <v>99</v>
      </c>
      <c r="B11" s="2" t="s">
        <v>22</v>
      </c>
      <c r="C11" s="6">
        <v>3</v>
      </c>
      <c r="D11" s="2" t="s">
        <v>16</v>
      </c>
      <c r="E11" s="6">
        <v>1</v>
      </c>
      <c r="F11" s="32" t="s">
        <v>11</v>
      </c>
      <c r="G11" s="2" t="s">
        <v>17</v>
      </c>
      <c r="H11" s="7">
        <f t="shared" si="0"/>
        <v>4</v>
      </c>
      <c r="I11" s="8">
        <v>1</v>
      </c>
      <c r="J11" s="2" t="s">
        <v>16</v>
      </c>
      <c r="K11" s="7">
        <f t="shared" si="1"/>
        <v>5</v>
      </c>
    </row>
    <row r="12" spans="1:11" ht="20.100000000000001" customHeight="1">
      <c r="A12" s="3" t="s">
        <v>98</v>
      </c>
      <c r="B12" s="3" t="s">
        <v>24</v>
      </c>
      <c r="C12" s="10">
        <v>2</v>
      </c>
      <c r="D12" s="3" t="s">
        <v>11</v>
      </c>
      <c r="E12" s="10">
        <v>2</v>
      </c>
      <c r="F12" s="3" t="s">
        <v>11</v>
      </c>
      <c r="G12" s="3" t="s">
        <v>14</v>
      </c>
      <c r="H12" s="11">
        <f t="shared" si="0"/>
        <v>4</v>
      </c>
      <c r="I12" s="12">
        <v>1</v>
      </c>
      <c r="J12" s="3" t="s">
        <v>11</v>
      </c>
      <c r="K12" s="11">
        <f t="shared" si="1"/>
        <v>5</v>
      </c>
    </row>
    <row r="13" spans="1:11" ht="20.100000000000001" customHeight="1">
      <c r="A13" s="33" t="s">
        <v>94</v>
      </c>
      <c r="B13" s="33" t="s">
        <v>23</v>
      </c>
      <c r="C13" s="33">
        <v>4</v>
      </c>
      <c r="D13" s="33" t="s">
        <v>21</v>
      </c>
      <c r="E13" s="33">
        <v>0</v>
      </c>
      <c r="F13" s="33" t="s">
        <v>97</v>
      </c>
      <c r="G13" s="33" t="s">
        <v>97</v>
      </c>
      <c r="H13" s="33">
        <f t="shared" si="0"/>
        <v>4</v>
      </c>
      <c r="I13" s="33">
        <v>0</v>
      </c>
      <c r="J13" s="33" t="s">
        <v>97</v>
      </c>
      <c r="K13" s="33">
        <f t="shared" si="1"/>
        <v>4</v>
      </c>
    </row>
    <row r="14" spans="1:11" ht="20.100000000000001" customHeight="1">
      <c r="A14" s="2" t="s">
        <v>99</v>
      </c>
      <c r="B14" s="2" t="s">
        <v>25</v>
      </c>
      <c r="C14" s="6">
        <v>3</v>
      </c>
      <c r="D14" s="2" t="s">
        <v>13</v>
      </c>
      <c r="E14" s="6">
        <v>1</v>
      </c>
      <c r="F14" s="2" t="s">
        <v>21</v>
      </c>
      <c r="G14" s="2" t="s">
        <v>17</v>
      </c>
      <c r="H14" s="7">
        <f t="shared" si="0"/>
        <v>4</v>
      </c>
      <c r="I14" s="8">
        <v>1</v>
      </c>
      <c r="J14" s="2" t="s">
        <v>13</v>
      </c>
      <c r="K14" s="7">
        <f t="shared" si="1"/>
        <v>5</v>
      </c>
    </row>
    <row r="15" spans="1:11" ht="20.100000000000001" customHeight="1">
      <c r="A15" s="3" t="s">
        <v>94</v>
      </c>
      <c r="B15" s="3" t="s">
        <v>26</v>
      </c>
      <c r="C15" s="10">
        <v>2</v>
      </c>
      <c r="D15" s="3" t="s">
        <v>11</v>
      </c>
      <c r="E15" s="10">
        <v>0</v>
      </c>
      <c r="F15" s="3" t="s">
        <v>97</v>
      </c>
      <c r="G15" s="3" t="s">
        <v>97</v>
      </c>
      <c r="H15" s="11">
        <f t="shared" si="0"/>
        <v>2</v>
      </c>
      <c r="I15" s="10">
        <v>0</v>
      </c>
      <c r="J15" s="3" t="s">
        <v>97</v>
      </c>
      <c r="K15" s="11">
        <f t="shared" si="1"/>
        <v>2</v>
      </c>
    </row>
    <row r="16" spans="1:11" ht="20.100000000000001" customHeight="1">
      <c r="A16" s="2" t="s">
        <v>96</v>
      </c>
      <c r="B16" s="2" t="s">
        <v>27</v>
      </c>
      <c r="C16" s="6">
        <v>2</v>
      </c>
      <c r="D16" s="2" t="s">
        <v>28</v>
      </c>
      <c r="E16" s="6">
        <v>0</v>
      </c>
      <c r="F16" s="2" t="s">
        <v>97</v>
      </c>
      <c r="G16" s="2" t="s">
        <v>97</v>
      </c>
      <c r="H16" s="7">
        <f t="shared" si="0"/>
        <v>2</v>
      </c>
      <c r="I16" s="6">
        <v>0</v>
      </c>
      <c r="J16" s="2" t="s">
        <v>97</v>
      </c>
      <c r="K16" s="7">
        <f t="shared" si="1"/>
        <v>2</v>
      </c>
    </row>
    <row r="17" spans="1:11" ht="20.100000000000001" customHeight="1">
      <c r="A17" s="3" t="s">
        <v>98</v>
      </c>
      <c r="B17" s="3" t="s">
        <v>29</v>
      </c>
      <c r="C17" s="10">
        <v>2</v>
      </c>
      <c r="D17" s="3" t="s">
        <v>13</v>
      </c>
      <c r="E17" s="10">
        <v>0</v>
      </c>
      <c r="F17" s="3" t="s">
        <v>97</v>
      </c>
      <c r="G17" s="3" t="s">
        <v>97</v>
      </c>
      <c r="H17" s="11">
        <f t="shared" si="0"/>
        <v>2</v>
      </c>
      <c r="I17" s="10">
        <v>0</v>
      </c>
      <c r="J17" s="3" t="s">
        <v>97</v>
      </c>
      <c r="K17" s="11">
        <f t="shared" si="1"/>
        <v>2</v>
      </c>
    </row>
    <row r="18" spans="1:11" ht="20.100000000000001" customHeight="1">
      <c r="A18" s="2" t="s">
        <v>99</v>
      </c>
      <c r="B18" s="2" t="s">
        <v>30</v>
      </c>
      <c r="C18" s="6">
        <v>3</v>
      </c>
      <c r="D18" s="2" t="s">
        <v>21</v>
      </c>
      <c r="E18" s="6">
        <v>1</v>
      </c>
      <c r="F18" s="2" t="s">
        <v>13</v>
      </c>
      <c r="G18" s="2" t="s">
        <v>17</v>
      </c>
      <c r="H18" s="7">
        <f t="shared" si="0"/>
        <v>4</v>
      </c>
      <c r="I18" s="8">
        <v>1</v>
      </c>
      <c r="J18" s="2" t="s">
        <v>21</v>
      </c>
      <c r="K18" s="7">
        <f t="shared" si="1"/>
        <v>5</v>
      </c>
    </row>
    <row r="19" spans="1:11" ht="20.100000000000001" customHeight="1">
      <c r="A19" s="3" t="s">
        <v>94</v>
      </c>
      <c r="B19" s="3" t="s">
        <v>31</v>
      </c>
      <c r="C19" s="10">
        <v>2</v>
      </c>
      <c r="D19" s="3" t="s">
        <v>11</v>
      </c>
      <c r="E19" s="10">
        <v>0</v>
      </c>
      <c r="F19" s="3" t="s">
        <v>97</v>
      </c>
      <c r="G19" s="3" t="s">
        <v>97</v>
      </c>
      <c r="H19" s="11">
        <f t="shared" si="0"/>
        <v>2</v>
      </c>
      <c r="I19" s="10">
        <v>0</v>
      </c>
      <c r="J19" s="3" t="s">
        <v>97</v>
      </c>
      <c r="K19" s="11">
        <f t="shared" si="1"/>
        <v>2</v>
      </c>
    </row>
    <row r="20" spans="1:11" ht="20.100000000000001" customHeight="1">
      <c r="A20" s="2" t="s">
        <v>96</v>
      </c>
      <c r="B20" s="2" t="s">
        <v>32</v>
      </c>
      <c r="C20" s="6">
        <v>2</v>
      </c>
      <c r="D20" s="2" t="s">
        <v>21</v>
      </c>
      <c r="E20" s="6">
        <v>0</v>
      </c>
      <c r="F20" s="2" t="s">
        <v>97</v>
      </c>
      <c r="G20" s="2" t="s">
        <v>97</v>
      </c>
      <c r="H20" s="7">
        <f t="shared" si="0"/>
        <v>2</v>
      </c>
      <c r="I20" s="6">
        <v>0</v>
      </c>
      <c r="J20" s="2" t="s">
        <v>97</v>
      </c>
      <c r="K20" s="7">
        <f t="shared" si="1"/>
        <v>2</v>
      </c>
    </row>
    <row r="21" spans="1:11" ht="20.100000000000001" customHeight="1">
      <c r="A21" s="3" t="s">
        <v>98</v>
      </c>
      <c r="B21" s="3" t="s">
        <v>33</v>
      </c>
      <c r="C21" s="10">
        <v>2</v>
      </c>
      <c r="D21" s="3" t="s">
        <v>7</v>
      </c>
      <c r="E21" s="10">
        <v>0</v>
      </c>
      <c r="F21" s="3" t="s">
        <v>97</v>
      </c>
      <c r="G21" s="3" t="s">
        <v>97</v>
      </c>
      <c r="H21" s="11">
        <f t="shared" si="0"/>
        <v>2</v>
      </c>
      <c r="I21" s="10">
        <v>0</v>
      </c>
      <c r="J21" s="3" t="s">
        <v>97</v>
      </c>
      <c r="K21" s="11">
        <f t="shared" si="1"/>
        <v>2</v>
      </c>
    </row>
    <row r="22" spans="1:11" ht="20.100000000000001" customHeight="1">
      <c r="A22" s="2" t="s">
        <v>99</v>
      </c>
      <c r="B22" s="2" t="s">
        <v>34</v>
      </c>
      <c r="C22" s="6">
        <v>3</v>
      </c>
      <c r="D22" s="2" t="s">
        <v>28</v>
      </c>
      <c r="E22" s="6">
        <v>1</v>
      </c>
      <c r="F22" s="32" t="s">
        <v>7</v>
      </c>
      <c r="G22" s="2" t="s">
        <v>17</v>
      </c>
      <c r="H22" s="7">
        <f t="shared" si="0"/>
        <v>4</v>
      </c>
      <c r="I22" s="8">
        <v>1</v>
      </c>
      <c r="J22" s="2" t="s">
        <v>28</v>
      </c>
      <c r="K22" s="7">
        <f t="shared" si="1"/>
        <v>5</v>
      </c>
    </row>
    <row r="23" spans="1:11" ht="20.100000000000001" customHeight="1">
      <c r="A23" s="3" t="s">
        <v>94</v>
      </c>
      <c r="B23" s="3" t="s">
        <v>35</v>
      </c>
      <c r="C23" s="10">
        <v>2</v>
      </c>
      <c r="D23" s="3" t="s">
        <v>8</v>
      </c>
      <c r="E23" s="10">
        <v>0</v>
      </c>
      <c r="F23" s="3" t="s">
        <v>97</v>
      </c>
      <c r="G23" s="3" t="s">
        <v>97</v>
      </c>
      <c r="H23" s="11">
        <f t="shared" si="0"/>
        <v>2</v>
      </c>
      <c r="I23" s="10">
        <v>0</v>
      </c>
      <c r="J23" s="3" t="s">
        <v>97</v>
      </c>
      <c r="K23" s="11">
        <f t="shared" si="1"/>
        <v>2</v>
      </c>
    </row>
    <row r="24" spans="1:11" ht="20.100000000000001" customHeight="1">
      <c r="A24" s="2" t="s">
        <v>96</v>
      </c>
      <c r="B24" s="2" t="s">
        <v>36</v>
      </c>
      <c r="C24" s="6">
        <v>2</v>
      </c>
      <c r="D24" s="2" t="s">
        <v>21</v>
      </c>
      <c r="E24" s="6">
        <v>2</v>
      </c>
      <c r="F24" s="2" t="s">
        <v>21</v>
      </c>
      <c r="G24" s="2" t="s">
        <v>37</v>
      </c>
      <c r="H24" s="7">
        <f t="shared" si="0"/>
        <v>4</v>
      </c>
      <c r="I24" s="6">
        <v>0</v>
      </c>
      <c r="J24" s="2" t="s">
        <v>97</v>
      </c>
      <c r="K24" s="7">
        <f t="shared" si="1"/>
        <v>4</v>
      </c>
    </row>
    <row r="25" spans="1:11" ht="20.100000000000001" customHeight="1">
      <c r="A25" s="3" t="s">
        <v>98</v>
      </c>
      <c r="B25" s="3" t="s">
        <v>38</v>
      </c>
      <c r="C25" s="10">
        <v>2</v>
      </c>
      <c r="D25" s="3" t="s">
        <v>39</v>
      </c>
      <c r="E25" s="10">
        <v>2</v>
      </c>
      <c r="F25" s="3" t="s">
        <v>39</v>
      </c>
      <c r="G25" s="3" t="s">
        <v>37</v>
      </c>
      <c r="H25" s="11">
        <f t="shared" si="0"/>
        <v>4</v>
      </c>
      <c r="I25" s="10">
        <v>0</v>
      </c>
      <c r="J25" s="3" t="s">
        <v>97</v>
      </c>
      <c r="K25" s="11">
        <f t="shared" si="1"/>
        <v>4</v>
      </c>
    </row>
    <row r="26" spans="1:11" ht="20.100000000000001" customHeight="1">
      <c r="A26" s="2" t="s">
        <v>99</v>
      </c>
      <c r="B26" s="2" t="s">
        <v>40</v>
      </c>
      <c r="C26" s="6">
        <v>3</v>
      </c>
      <c r="D26" s="2" t="s">
        <v>28</v>
      </c>
      <c r="E26" s="6">
        <v>1</v>
      </c>
      <c r="F26" s="32" t="s">
        <v>7</v>
      </c>
      <c r="G26" s="2" t="s">
        <v>17</v>
      </c>
      <c r="H26" s="7">
        <f t="shared" si="0"/>
        <v>4</v>
      </c>
      <c r="I26" s="8">
        <v>1</v>
      </c>
      <c r="J26" s="2" t="s">
        <v>28</v>
      </c>
      <c r="K26" s="7">
        <f t="shared" si="1"/>
        <v>5</v>
      </c>
    </row>
    <row r="27" spans="1:11" ht="20.100000000000001" customHeight="1">
      <c r="A27" s="3" t="s">
        <v>94</v>
      </c>
      <c r="B27" s="3" t="s">
        <v>41</v>
      </c>
      <c r="C27" s="10">
        <v>2</v>
      </c>
      <c r="D27" s="3" t="s">
        <v>28</v>
      </c>
      <c r="E27" s="10">
        <v>0</v>
      </c>
      <c r="F27" s="3" t="s">
        <v>97</v>
      </c>
      <c r="G27" s="3" t="s">
        <v>97</v>
      </c>
      <c r="H27" s="11">
        <f t="shared" si="0"/>
        <v>2</v>
      </c>
      <c r="I27" s="10">
        <v>0</v>
      </c>
      <c r="J27" s="3" t="s">
        <v>97</v>
      </c>
      <c r="K27" s="11">
        <f t="shared" si="1"/>
        <v>2</v>
      </c>
    </row>
    <row r="28" spans="1:11" ht="20.100000000000001" customHeight="1">
      <c r="A28" s="2" t="s">
        <v>96</v>
      </c>
      <c r="B28" s="2" t="s">
        <v>42</v>
      </c>
      <c r="C28" s="6">
        <v>2</v>
      </c>
      <c r="D28" s="32" t="s">
        <v>16</v>
      </c>
      <c r="E28" s="6">
        <v>2</v>
      </c>
      <c r="F28" s="32" t="s">
        <v>16</v>
      </c>
      <c r="G28" s="2" t="s">
        <v>37</v>
      </c>
      <c r="H28" s="7">
        <f t="shared" si="0"/>
        <v>4</v>
      </c>
      <c r="I28" s="6">
        <v>0</v>
      </c>
      <c r="J28" s="2" t="s">
        <v>97</v>
      </c>
      <c r="K28" s="7">
        <f t="shared" si="1"/>
        <v>4</v>
      </c>
    </row>
    <row r="29" spans="1:11" ht="20.100000000000001" customHeight="1">
      <c r="A29" s="3" t="s">
        <v>98</v>
      </c>
      <c r="B29" s="3" t="s">
        <v>43</v>
      </c>
      <c r="C29" s="10">
        <v>2</v>
      </c>
      <c r="D29" s="3" t="s">
        <v>16</v>
      </c>
      <c r="E29" s="10">
        <v>2</v>
      </c>
      <c r="F29" s="3" t="s">
        <v>16</v>
      </c>
      <c r="G29" s="3" t="s">
        <v>37</v>
      </c>
      <c r="H29" s="11">
        <f t="shared" si="0"/>
        <v>4</v>
      </c>
      <c r="I29" s="10">
        <v>0</v>
      </c>
      <c r="J29" s="3" t="s">
        <v>97</v>
      </c>
      <c r="K29" s="11">
        <f t="shared" si="1"/>
        <v>4</v>
      </c>
    </row>
    <row r="30" spans="1:11" ht="20.100000000000001" customHeight="1">
      <c r="A30" s="2" t="s">
        <v>94</v>
      </c>
      <c r="B30" s="2" t="s">
        <v>44</v>
      </c>
      <c r="C30" s="6">
        <v>2</v>
      </c>
      <c r="D30" s="32" t="s">
        <v>39</v>
      </c>
      <c r="E30" s="6">
        <v>0</v>
      </c>
      <c r="F30" s="2" t="s">
        <v>97</v>
      </c>
      <c r="G30" s="2" t="s">
        <v>97</v>
      </c>
      <c r="H30" s="7">
        <f t="shared" si="0"/>
        <v>2</v>
      </c>
      <c r="I30" s="6">
        <v>0</v>
      </c>
      <c r="J30" s="2" t="s">
        <v>97</v>
      </c>
      <c r="K30" s="7">
        <f t="shared" si="1"/>
        <v>2</v>
      </c>
    </row>
    <row r="31" spans="1:11" ht="20.100000000000001" customHeight="1">
      <c r="A31" s="3" t="s">
        <v>96</v>
      </c>
      <c r="B31" s="3" t="s">
        <v>45</v>
      </c>
      <c r="C31" s="10">
        <v>2</v>
      </c>
      <c r="D31" s="3" t="s">
        <v>39</v>
      </c>
      <c r="E31" s="10">
        <v>2</v>
      </c>
      <c r="F31" s="3" t="s">
        <v>39</v>
      </c>
      <c r="G31" s="3" t="s">
        <v>37</v>
      </c>
      <c r="H31" s="11">
        <f t="shared" si="0"/>
        <v>4</v>
      </c>
      <c r="I31" s="10">
        <v>0</v>
      </c>
      <c r="J31" s="3" t="s">
        <v>97</v>
      </c>
      <c r="K31" s="11">
        <f t="shared" si="1"/>
        <v>4</v>
      </c>
    </row>
    <row r="32" spans="1:11" ht="20.100000000000001" customHeight="1">
      <c r="A32" s="2" t="s">
        <v>98</v>
      </c>
      <c r="B32" s="2" t="s">
        <v>46</v>
      </c>
      <c r="C32" s="6">
        <v>2</v>
      </c>
      <c r="D32" s="2" t="s">
        <v>13</v>
      </c>
      <c r="E32" s="6">
        <v>2</v>
      </c>
      <c r="F32" s="2" t="s">
        <v>13</v>
      </c>
      <c r="G32" s="2" t="s">
        <v>37</v>
      </c>
      <c r="H32" s="7">
        <f t="shared" si="0"/>
        <v>4</v>
      </c>
      <c r="I32" s="6">
        <v>0</v>
      </c>
      <c r="J32" s="2" t="s">
        <v>97</v>
      </c>
      <c r="K32" s="7">
        <f t="shared" si="1"/>
        <v>4</v>
      </c>
    </row>
    <row r="33" spans="1:11" ht="20.100000000000001" customHeight="1">
      <c r="A33" s="3" t="s">
        <v>94</v>
      </c>
      <c r="B33" s="3" t="s">
        <v>47</v>
      </c>
      <c r="C33" s="10">
        <v>2</v>
      </c>
      <c r="D33" s="34" t="s">
        <v>8</v>
      </c>
      <c r="E33" s="10">
        <v>0</v>
      </c>
      <c r="F33" s="3" t="s">
        <v>97</v>
      </c>
      <c r="G33" s="3" t="s">
        <v>97</v>
      </c>
      <c r="H33" s="11">
        <f t="shared" si="0"/>
        <v>2</v>
      </c>
      <c r="I33" s="10">
        <v>0</v>
      </c>
      <c r="J33" s="3" t="s">
        <v>97</v>
      </c>
      <c r="K33" s="11">
        <f t="shared" si="1"/>
        <v>2</v>
      </c>
    </row>
    <row r="34" spans="1:11" ht="20.100000000000001" customHeight="1">
      <c r="A34" s="2" t="s">
        <v>96</v>
      </c>
      <c r="B34" s="2" t="s">
        <v>48</v>
      </c>
      <c r="C34" s="6">
        <v>2</v>
      </c>
      <c r="D34" s="32" t="s">
        <v>28</v>
      </c>
      <c r="E34" s="6">
        <v>2</v>
      </c>
      <c r="F34" s="32" t="s">
        <v>28</v>
      </c>
      <c r="G34" s="2" t="s">
        <v>37</v>
      </c>
      <c r="H34" s="7">
        <f t="shared" si="0"/>
        <v>4</v>
      </c>
      <c r="I34" s="6">
        <v>0</v>
      </c>
      <c r="J34" s="2" t="s">
        <v>97</v>
      </c>
      <c r="K34" s="7">
        <f t="shared" si="1"/>
        <v>4</v>
      </c>
    </row>
    <row r="35" spans="1:11" ht="20.100000000000001" customHeight="1">
      <c r="A35" s="3" t="s">
        <v>98</v>
      </c>
      <c r="B35" s="3" t="s">
        <v>49</v>
      </c>
      <c r="C35" s="10">
        <v>2</v>
      </c>
      <c r="D35" s="3" t="s">
        <v>7</v>
      </c>
      <c r="E35" s="10">
        <v>2</v>
      </c>
      <c r="F35" s="3" t="s">
        <v>7</v>
      </c>
      <c r="G35" s="3" t="s">
        <v>37</v>
      </c>
      <c r="H35" s="11">
        <f t="shared" si="0"/>
        <v>4</v>
      </c>
      <c r="I35" s="10">
        <v>0</v>
      </c>
      <c r="J35" s="3" t="s">
        <v>97</v>
      </c>
      <c r="K35" s="11">
        <f t="shared" si="1"/>
        <v>4</v>
      </c>
    </row>
    <row r="36" spans="1:11" ht="20.100000000000001" customHeight="1">
      <c r="A36" s="2" t="s">
        <v>94</v>
      </c>
      <c r="B36" s="2" t="s">
        <v>50</v>
      </c>
      <c r="C36" s="6">
        <v>2</v>
      </c>
      <c r="D36" s="2" t="s">
        <v>8</v>
      </c>
      <c r="E36" s="6">
        <v>0</v>
      </c>
      <c r="F36" s="2" t="s">
        <v>97</v>
      </c>
      <c r="G36" s="2" t="s">
        <v>97</v>
      </c>
      <c r="H36" s="7">
        <f t="shared" si="0"/>
        <v>2</v>
      </c>
      <c r="I36" s="6">
        <v>0</v>
      </c>
      <c r="J36" s="2" t="s">
        <v>97</v>
      </c>
      <c r="K36" s="7">
        <f t="shared" si="1"/>
        <v>2</v>
      </c>
    </row>
    <row r="37" spans="1:11" ht="20.100000000000001" customHeight="1">
      <c r="A37" s="3" t="s">
        <v>96</v>
      </c>
      <c r="B37" s="3" t="s">
        <v>51</v>
      </c>
      <c r="C37" s="10">
        <v>2</v>
      </c>
      <c r="D37" s="34" t="s">
        <v>39</v>
      </c>
      <c r="E37" s="10">
        <v>0</v>
      </c>
      <c r="F37" s="3" t="s">
        <v>97</v>
      </c>
      <c r="G37" s="3" t="s">
        <v>97</v>
      </c>
      <c r="H37" s="11">
        <f t="shared" si="0"/>
        <v>2</v>
      </c>
      <c r="I37" s="10">
        <v>0</v>
      </c>
      <c r="J37" s="3" t="s">
        <v>97</v>
      </c>
      <c r="K37" s="11">
        <f t="shared" si="1"/>
        <v>2</v>
      </c>
    </row>
    <row r="38" spans="1:11" ht="20.100000000000001" customHeight="1">
      <c r="A38" s="2" t="s">
        <v>98</v>
      </c>
      <c r="B38" s="2" t="s">
        <v>52</v>
      </c>
      <c r="C38" s="6">
        <v>2</v>
      </c>
      <c r="D38" s="32" t="s">
        <v>13</v>
      </c>
      <c r="E38" s="6">
        <v>0</v>
      </c>
      <c r="F38" s="2" t="s">
        <v>97</v>
      </c>
      <c r="G38" s="2" t="s">
        <v>97</v>
      </c>
      <c r="H38" s="7">
        <f t="shared" si="0"/>
        <v>2</v>
      </c>
      <c r="I38" s="6">
        <v>0</v>
      </c>
      <c r="J38" s="2" t="s">
        <v>97</v>
      </c>
      <c r="K38" s="7">
        <f t="shared" si="1"/>
        <v>2</v>
      </c>
    </row>
    <row r="39" spans="1:11" ht="20.100000000000001" customHeight="1">
      <c r="A39" s="3" t="s">
        <v>94</v>
      </c>
      <c r="B39" s="3" t="s">
        <v>53</v>
      </c>
      <c r="C39" s="10">
        <v>2</v>
      </c>
      <c r="D39" s="3" t="s">
        <v>39</v>
      </c>
      <c r="E39" s="10">
        <v>0</v>
      </c>
      <c r="F39" s="3" t="s">
        <v>97</v>
      </c>
      <c r="G39" s="3" t="s">
        <v>97</v>
      </c>
      <c r="H39" s="11">
        <f t="shared" si="0"/>
        <v>2</v>
      </c>
      <c r="I39" s="10">
        <v>0</v>
      </c>
      <c r="J39" s="3" t="s">
        <v>97</v>
      </c>
      <c r="K39" s="11">
        <f t="shared" si="1"/>
        <v>2</v>
      </c>
    </row>
    <row r="40" spans="1:11" ht="20.100000000000001" customHeight="1">
      <c r="A40" s="2" t="s">
        <v>96</v>
      </c>
      <c r="B40" s="2" t="s">
        <v>54</v>
      </c>
      <c r="C40" s="6">
        <v>2</v>
      </c>
      <c r="D40" s="32" t="s">
        <v>21</v>
      </c>
      <c r="E40" s="6">
        <v>0</v>
      </c>
      <c r="F40" s="2" t="s">
        <v>97</v>
      </c>
      <c r="G40" s="2" t="s">
        <v>97</v>
      </c>
      <c r="H40" s="7">
        <f t="shared" si="0"/>
        <v>2</v>
      </c>
      <c r="I40" s="6">
        <v>0</v>
      </c>
      <c r="J40" s="2" t="s">
        <v>97</v>
      </c>
      <c r="K40" s="7">
        <f t="shared" si="1"/>
        <v>2</v>
      </c>
    </row>
    <row r="41" spans="1:11" ht="20.100000000000001" customHeight="1">
      <c r="A41" s="3" t="s">
        <v>98</v>
      </c>
      <c r="B41" s="3" t="s">
        <v>55</v>
      </c>
      <c r="C41" s="10">
        <v>2</v>
      </c>
      <c r="D41" s="3" t="s">
        <v>28</v>
      </c>
      <c r="E41" s="10">
        <v>0</v>
      </c>
      <c r="F41" s="3" t="s">
        <v>97</v>
      </c>
      <c r="G41" s="3" t="s">
        <v>97</v>
      </c>
      <c r="H41" s="11">
        <f t="shared" si="0"/>
        <v>2</v>
      </c>
      <c r="I41" s="10">
        <v>0</v>
      </c>
      <c r="J41" s="3" t="s">
        <v>97</v>
      </c>
      <c r="K41" s="11">
        <f t="shared" si="1"/>
        <v>2</v>
      </c>
    </row>
    <row r="42" spans="1:11" ht="20.100000000000001" customHeight="1">
      <c r="A42" s="2" t="s">
        <v>94</v>
      </c>
      <c r="B42" s="2" t="s">
        <v>56</v>
      </c>
      <c r="C42" s="6">
        <v>2</v>
      </c>
      <c r="D42" s="2" t="s">
        <v>8</v>
      </c>
      <c r="E42" s="6">
        <v>0</v>
      </c>
      <c r="F42" s="2" t="s">
        <v>97</v>
      </c>
      <c r="G42" s="2" t="s">
        <v>97</v>
      </c>
      <c r="H42" s="7">
        <f t="shared" si="0"/>
        <v>2</v>
      </c>
      <c r="I42" s="6">
        <v>0</v>
      </c>
      <c r="J42" s="2" t="s">
        <v>97</v>
      </c>
      <c r="K42" s="7">
        <f t="shared" si="1"/>
        <v>2</v>
      </c>
    </row>
    <row r="43" spans="1:11" ht="20.100000000000001" customHeight="1">
      <c r="A43" s="3" t="s">
        <v>96</v>
      </c>
      <c r="B43" s="3" t="s">
        <v>57</v>
      </c>
      <c r="C43" s="10">
        <v>2</v>
      </c>
      <c r="D43" s="3" t="s">
        <v>39</v>
      </c>
      <c r="E43" s="10">
        <v>0</v>
      </c>
      <c r="F43" s="3" t="s">
        <v>97</v>
      </c>
      <c r="G43" s="3" t="s">
        <v>97</v>
      </c>
      <c r="H43" s="11">
        <f t="shared" si="0"/>
        <v>2</v>
      </c>
      <c r="I43" s="10">
        <v>0</v>
      </c>
      <c r="J43" s="3" t="s">
        <v>97</v>
      </c>
      <c r="K43" s="11">
        <f t="shared" si="1"/>
        <v>2</v>
      </c>
    </row>
    <row r="44" spans="1:11" ht="20.100000000000001" customHeight="1">
      <c r="A44" s="2" t="s">
        <v>98</v>
      </c>
      <c r="B44" s="2" t="s">
        <v>58</v>
      </c>
      <c r="C44" s="6">
        <v>2</v>
      </c>
      <c r="D44" s="2" t="s">
        <v>39</v>
      </c>
      <c r="E44" s="6">
        <v>0</v>
      </c>
      <c r="F44" s="2" t="s">
        <v>97</v>
      </c>
      <c r="G44" s="2" t="s">
        <v>97</v>
      </c>
      <c r="H44" s="7">
        <f t="shared" si="0"/>
        <v>2</v>
      </c>
      <c r="I44" s="6">
        <v>0</v>
      </c>
      <c r="J44" s="2" t="s">
        <v>97</v>
      </c>
      <c r="K44" s="7">
        <f t="shared" si="1"/>
        <v>2</v>
      </c>
    </row>
    <row r="45" spans="1:11" ht="20.100000000000001" customHeight="1">
      <c r="A45" s="3" t="s">
        <v>94</v>
      </c>
      <c r="B45" s="3" t="s">
        <v>59</v>
      </c>
      <c r="C45" s="10">
        <v>2</v>
      </c>
      <c r="D45" s="3" t="s">
        <v>16</v>
      </c>
      <c r="E45" s="10">
        <v>0</v>
      </c>
      <c r="F45" s="3" t="s">
        <v>97</v>
      </c>
      <c r="G45" s="3" t="s">
        <v>97</v>
      </c>
      <c r="H45" s="11">
        <f t="shared" si="0"/>
        <v>2</v>
      </c>
      <c r="I45" s="10">
        <v>0</v>
      </c>
      <c r="J45" s="3" t="s">
        <v>97</v>
      </c>
      <c r="K45" s="11">
        <f t="shared" si="1"/>
        <v>2</v>
      </c>
    </row>
    <row r="46" spans="1:11" ht="20.100000000000001" customHeight="1">
      <c r="A46" s="2" t="s">
        <v>96</v>
      </c>
      <c r="B46" s="2" t="s">
        <v>60</v>
      </c>
      <c r="C46" s="6">
        <v>2</v>
      </c>
      <c r="D46" s="32" t="s">
        <v>7</v>
      </c>
      <c r="E46" s="6">
        <v>0</v>
      </c>
      <c r="F46" s="2" t="s">
        <v>97</v>
      </c>
      <c r="G46" s="2" t="s">
        <v>97</v>
      </c>
      <c r="H46" s="7">
        <f t="shared" si="0"/>
        <v>2</v>
      </c>
      <c r="I46" s="6">
        <v>0</v>
      </c>
      <c r="J46" s="2" t="s">
        <v>97</v>
      </c>
      <c r="K46" s="7">
        <f t="shared" si="1"/>
        <v>2</v>
      </c>
    </row>
    <row r="47" spans="1:11" ht="20.100000000000001" customHeight="1">
      <c r="A47" s="3" t="s">
        <v>98</v>
      </c>
      <c r="B47" s="3" t="s">
        <v>61</v>
      </c>
      <c r="C47" s="10">
        <v>2</v>
      </c>
      <c r="D47" s="3" t="s">
        <v>8</v>
      </c>
      <c r="E47" s="10">
        <v>0</v>
      </c>
      <c r="F47" s="3" t="s">
        <v>97</v>
      </c>
      <c r="G47" s="3" t="s">
        <v>97</v>
      </c>
      <c r="H47" s="11">
        <f t="shared" si="0"/>
        <v>2</v>
      </c>
      <c r="I47" s="10">
        <v>0</v>
      </c>
      <c r="J47" s="3" t="s">
        <v>97</v>
      </c>
      <c r="K47" s="11">
        <f t="shared" si="1"/>
        <v>2</v>
      </c>
    </row>
    <row r="48" spans="1:11" ht="20.100000000000001" customHeight="1">
      <c r="A48" s="2" t="s">
        <v>94</v>
      </c>
      <c r="B48" s="2" t="s">
        <v>62</v>
      </c>
      <c r="C48" s="6">
        <v>2</v>
      </c>
      <c r="D48" s="2" t="s">
        <v>16</v>
      </c>
      <c r="E48" s="6">
        <v>0</v>
      </c>
      <c r="F48" s="2" t="s">
        <v>97</v>
      </c>
      <c r="G48" s="2" t="s">
        <v>97</v>
      </c>
      <c r="H48" s="7">
        <f t="shared" si="0"/>
        <v>2</v>
      </c>
      <c r="I48" s="6">
        <v>0</v>
      </c>
      <c r="J48" s="2" t="s">
        <v>97</v>
      </c>
      <c r="K48" s="7">
        <f t="shared" si="1"/>
        <v>2</v>
      </c>
    </row>
    <row r="49" spans="1:11" ht="20.100000000000001" customHeight="1">
      <c r="A49" s="3" t="s">
        <v>96</v>
      </c>
      <c r="B49" s="3" t="s">
        <v>63</v>
      </c>
      <c r="C49" s="10">
        <v>2</v>
      </c>
      <c r="D49" s="3" t="s">
        <v>7</v>
      </c>
      <c r="E49" s="10">
        <v>0</v>
      </c>
      <c r="F49" s="3" t="s">
        <v>97</v>
      </c>
      <c r="G49" s="3" t="s">
        <v>97</v>
      </c>
      <c r="H49" s="11">
        <f t="shared" si="0"/>
        <v>2</v>
      </c>
      <c r="I49" s="10">
        <v>0</v>
      </c>
      <c r="J49" s="3" t="s">
        <v>97</v>
      </c>
      <c r="K49" s="11">
        <f t="shared" si="1"/>
        <v>2</v>
      </c>
    </row>
    <row r="50" spans="1:11" ht="24.95" customHeight="1">
      <c r="A50" s="2" t="s">
        <v>98</v>
      </c>
      <c r="B50" s="2" t="s">
        <v>64</v>
      </c>
      <c r="C50" s="6">
        <v>2</v>
      </c>
      <c r="D50" s="2" t="s">
        <v>8</v>
      </c>
      <c r="E50" s="6">
        <v>0</v>
      </c>
      <c r="F50" s="2" t="s">
        <v>97</v>
      </c>
      <c r="G50" s="2" t="s">
        <v>97</v>
      </c>
      <c r="H50" s="7">
        <f t="shared" si="0"/>
        <v>2</v>
      </c>
      <c r="I50" s="6">
        <v>0</v>
      </c>
      <c r="J50" s="2" t="s">
        <v>97</v>
      </c>
      <c r="K50" s="7">
        <f t="shared" si="1"/>
        <v>2</v>
      </c>
    </row>
    <row r="51" spans="1:11">
      <c r="A51" s="14"/>
      <c r="B51" s="4" t="s">
        <v>65</v>
      </c>
      <c r="C51" s="35">
        <f>SUM(C4:C50)</f>
        <v>110</v>
      </c>
      <c r="D51" s="14"/>
      <c r="E51" s="15">
        <f>SUM(E4:E50)</f>
        <v>32</v>
      </c>
      <c r="F51" s="14"/>
      <c r="G51" s="14"/>
      <c r="H51" s="35">
        <f>SUM(H4:H50)</f>
        <v>142</v>
      </c>
      <c r="I51" s="15">
        <f>SUM(I4:I50)</f>
        <v>15</v>
      </c>
      <c r="J51" s="14"/>
      <c r="K51" s="35">
        <f>SUM(K4:K50)</f>
        <v>157</v>
      </c>
    </row>
  </sheetData>
  <mergeCells count="1">
    <mergeCell ref="A1:K1"/>
  </mergeCells>
  <phoneticPr fontId="7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英文課程需求一覽表</vt:lpstr>
      <vt:lpstr>教師授課節數統計</vt:lpstr>
      <vt:lpstr>班級課程需求明細-略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妃卿 何</cp:lastModifiedBy>
  <dcterms:created xsi:type="dcterms:W3CDTF">2026-08-04T13:08:21Z</dcterms:created>
  <dcterms:modified xsi:type="dcterms:W3CDTF">2026-08-17T01:34:22Z</dcterms:modified>
</cp:coreProperties>
</file>