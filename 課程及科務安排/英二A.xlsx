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d.docs.live.net/da30f84df4d1ef7c/桌面/教學/英文4/"/>
    </mc:Choice>
  </mc:AlternateContent>
  <xr:revisionPtr revIDLastSave="361" documentId="8_{0755DBF6-0248-4F08-8D07-F44DCDDBE7C4}" xr6:coauthVersionLast="47" xr6:coauthVersionMax="47" xr10:uidLastSave="{6049BD43-DC2F-4DB3-8988-98808995EC6E}"/>
  <bookViews>
    <workbookView xWindow="-132" yWindow="-132" windowWidth="23304" windowHeight="12504" xr2:uid="{3F5F1023-EFCE-4514-ACAE-97363F7A9820}"/>
  </bookViews>
  <sheets>
    <sheet name="英二A 成績登記表" sheetId="3" r:id="rId1"/>
    <sheet name="英二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7" i="3" l="1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5" i="3"/>
  <c r="U14" i="3"/>
  <c r="U13" i="3"/>
  <c r="U12" i="3"/>
  <c r="U11" i="3"/>
  <c r="U10" i="3"/>
  <c r="U9" i="3"/>
  <c r="U8" i="3"/>
  <c r="U7" i="3"/>
  <c r="U6" i="3"/>
  <c r="U5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U16" i="3" l="1"/>
</calcChain>
</file>

<file path=xl/sharedStrings.xml><?xml version="1.0" encoding="utf-8"?>
<sst xmlns="http://schemas.openxmlformats.org/spreadsheetml/2006/main" count="234" uniqueCount="91">
  <si>
    <t>114學年度 第2學期 英二A</t>
    <phoneticPr fontId="19" type="noConversion"/>
  </si>
  <si>
    <t>班級</t>
  </si>
  <si>
    <t>姓名</t>
  </si>
  <si>
    <t>學號</t>
  </si>
  <si>
    <t>大卷</t>
    <phoneticPr fontId="19" type="noConversion"/>
  </si>
  <si>
    <t>一段(20)</t>
    <phoneticPr fontId="19" type="noConversion"/>
  </si>
  <si>
    <t>期中考(20)</t>
  </si>
  <si>
    <t>期末考(20)</t>
  </si>
  <si>
    <t>小卷</t>
    <phoneticPr fontId="19" type="noConversion"/>
  </si>
  <si>
    <t>作業</t>
    <phoneticPr fontId="19" type="noConversion"/>
  </si>
  <si>
    <t>英聽</t>
    <phoneticPr fontId="19" type="noConversion"/>
  </si>
  <si>
    <t>定期</t>
  </si>
  <si>
    <t>課堂表現</t>
    <phoneticPr fontId="19" type="noConversion"/>
  </si>
  <si>
    <t>平常平均</t>
    <phoneticPr fontId="19" type="noConversion"/>
  </si>
  <si>
    <t>評量</t>
  </si>
  <si>
    <t>平均</t>
    <phoneticPr fontId="19" type="noConversion"/>
  </si>
  <si>
    <t>總成績</t>
    <phoneticPr fontId="19" type="noConversion"/>
  </si>
  <si>
    <t>普通二 1</t>
  </si>
  <si>
    <t>杜宥恩(5)</t>
  </si>
  <si>
    <t>313039</t>
  </si>
  <si>
    <t>林承龍(9)</t>
  </si>
  <si>
    <t>313041</t>
  </si>
  <si>
    <t>邱成瑜(11)</t>
  </si>
  <si>
    <t>313069</t>
  </si>
  <si>
    <t>許丞喆(13)</t>
  </si>
  <si>
    <t>313042</t>
  </si>
  <si>
    <t>許袁裴(14)</t>
  </si>
  <si>
    <t>313072</t>
  </si>
  <si>
    <t>簡元璋(23)</t>
  </si>
  <si>
    <t>313104</t>
  </si>
  <si>
    <t>簡嘉慶(24)</t>
  </si>
  <si>
    <t>313081</t>
  </si>
  <si>
    <t>林庭米(28)</t>
  </si>
  <si>
    <t>313084</t>
  </si>
  <si>
    <t>林萱芸(29)</t>
  </si>
  <si>
    <t>313085</t>
  </si>
  <si>
    <t>陳宣羽(32)</t>
  </si>
  <si>
    <t>313088</t>
  </si>
  <si>
    <t>陳家軒(33)</t>
  </si>
  <si>
    <t>313089</t>
  </si>
  <si>
    <t>曾芊嘉(34)</t>
  </si>
  <si>
    <t>313090</t>
  </si>
  <si>
    <t>詹之亞(39)</t>
  </si>
  <si>
    <t>313093</t>
  </si>
  <si>
    <t>蘇品瑜(43)</t>
  </si>
  <si>
    <t>313065</t>
  </si>
  <si>
    <t>普通二 2</t>
  </si>
  <si>
    <t>駱彥安(5)</t>
  </si>
  <si>
    <t>313018</t>
  </si>
  <si>
    <t>徐誠軒(11)</t>
  </si>
  <si>
    <t>313070</t>
  </si>
  <si>
    <t>張宜玄(12)</t>
  </si>
  <si>
    <t>313071</t>
  </si>
  <si>
    <t>陳又霆(13)</t>
  </si>
  <si>
    <t>313073</t>
  </si>
  <si>
    <t>吳蕎羽(17)</t>
  </si>
  <si>
    <t>313021</t>
  </si>
  <si>
    <t>林煒晴(19)</t>
  </si>
  <si>
    <t>313025</t>
  </si>
  <si>
    <t>王家愉(23)</t>
  </si>
  <si>
    <t>313053</t>
  </si>
  <si>
    <t>江睿芩(24)</t>
  </si>
  <si>
    <t>313055</t>
  </si>
  <si>
    <t>蔡宜庭(25)</t>
  </si>
  <si>
    <t>313061</t>
  </si>
  <si>
    <t>張聿伶(26)</t>
  </si>
  <si>
    <t>313086</t>
  </si>
  <si>
    <t>普通二 3</t>
  </si>
  <si>
    <t>吳泓霖(1)</t>
  </si>
  <si>
    <t>313004</t>
  </si>
  <si>
    <t>李家睿(12)</t>
  </si>
  <si>
    <t>313068</t>
  </si>
  <si>
    <t>陳致安(14)</t>
  </si>
  <si>
    <t>313076</t>
  </si>
  <si>
    <t>劉宇博(16)</t>
  </si>
  <si>
    <t>313079</t>
  </si>
  <si>
    <t>梁寶云(18)</t>
  </si>
  <si>
    <t>313027</t>
  </si>
  <si>
    <t>劉晴妍(19)</t>
  </si>
  <si>
    <t>313032</t>
  </si>
  <si>
    <t>戴于瑄(20)</t>
  </si>
  <si>
    <t>313062</t>
  </si>
  <si>
    <t>戴子嫣(22)</t>
  </si>
  <si>
    <t>313094</t>
  </si>
  <si>
    <t>黃靖淳(25)</t>
  </si>
  <si>
    <t>313098</t>
  </si>
  <si>
    <t>教師簽名：</t>
  </si>
  <si>
    <t>114學年度 第1學期 英二A</t>
  </si>
  <si>
    <t>一段</t>
    <phoneticPr fontId="19" type="noConversion"/>
  </si>
  <si>
    <t>二段</t>
    <phoneticPr fontId="19" type="noConversion"/>
  </si>
  <si>
    <t>期末考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</si>
</sst>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0" fontId="0" fillId="0" borderId="14" xfId="0" applyBorder="1">
      <alignment vertical="center"/>
    </xf>
    <xf numFmtId="0" fontId="20" fillId="0" borderId="14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33" borderId="13" xfId="0" applyFont="1" applyFill="1" applyBorder="1" applyAlignment="1">
      <alignment vertical="center" wrapText="1"/>
    </xf>
    <xf numFmtId="0" fontId="18" fillId="0" borderId="15" xfId="0" applyFont="1" applyBorder="1" applyAlignment="1">
      <alignment horizontal="center" vertical="center" wrapText="1"/>
    </xf>
    <xf numFmtId="176" fontId="18" fillId="0" borderId="11" xfId="0" applyNumberFormat="1" applyFont="1" applyBorder="1" applyAlignment="1">
      <alignment vertical="center" wrapText="1"/>
    </xf>
    <xf numFmtId="176" fontId="18" fillId="0" borderId="12" xfId="0" applyNumberFormat="1" applyFont="1" applyBorder="1" applyAlignment="1">
      <alignment vertical="center" wrapText="1"/>
    </xf>
    <xf numFmtId="176" fontId="18" fillId="0" borderId="11" xfId="0" applyNumberFormat="1" applyFont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176" fontId="18" fillId="0" borderId="14" xfId="0" applyNumberFormat="1" applyFont="1" applyBorder="1" applyAlignment="1">
      <alignment horizontal="center" vertical="center" wrapText="1"/>
    </xf>
    <xf numFmtId="176" fontId="0" fillId="0" borderId="14" xfId="0" applyNumberForma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18" fillId="0" borderId="18" xfId="0" applyNumberFormat="1" applyFont="1" applyBorder="1" applyAlignment="1">
      <alignment horizontal="center" vertical="center" wrapText="1"/>
    </xf>
    <xf numFmtId="176" fontId="0" fillId="0" borderId="19" xfId="0" applyNumberFormat="1" applyBorder="1" applyAlignment="1">
      <alignment horizontal="center" vertical="center"/>
    </xf>
    <xf numFmtId="176" fontId="18" fillId="0" borderId="20" xfId="0" applyNumberFormat="1" applyFont="1" applyBorder="1" applyAlignment="1">
      <alignment horizontal="center" vertical="center" wrapText="1"/>
    </xf>
    <xf numFmtId="176" fontId="0" fillId="0" borderId="21" xfId="0" applyNumberFormat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0" fillId="0" borderId="0" xfId="0">
      <alignment vertical="center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0" fillId="34" borderId="12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20" fillId="0" borderId="22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20" fillId="0" borderId="24" xfId="0" applyFont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20" fillId="0" borderId="11" xfId="0" applyFont="1" applyBorder="1" applyAlignment="1">
      <alignment vertical="center" wrapText="1"/>
    </xf>
    <xf numFmtId="0" fontId="20" fillId="0" borderId="13" xfId="0" applyFont="1" applyBorder="1" applyAlignment="1">
      <alignment vertical="center" wrapText="1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DB62-839A-4ECB-BE75-EDA20CB444CD}">
  <sheetPr>
    <pageSetUpPr fitToPage="1"/>
  </sheetPr>
  <dimension ref="A1:U39"/>
  <sheetViews>
    <sheetView showGridLines="0" tabSelected="1" workbookViewId="0">
      <selection activeCell="P16" sqref="P16"/>
    </sheetView>
  </sheetViews>
  <sheetFormatPr defaultRowHeight="16.149999999999999"/>
  <cols>
    <col min="1" max="1" width="8.375" bestFit="1" customWidth="1"/>
    <col min="2" max="2" width="9.875" bestFit="1" customWidth="1"/>
    <col min="3" max="3" width="6.625" bestFit="1" customWidth="1"/>
    <col min="4" max="6" width="5.125" style="5" bestFit="1" customWidth="1"/>
    <col min="7" max="14" width="5.125" bestFit="1" customWidth="1"/>
    <col min="15" max="15" width="8.875" customWidth="1"/>
    <col min="16" max="16" width="8.875" style="14" customWidth="1"/>
    <col min="17" max="17" width="8" style="5" customWidth="1"/>
    <col min="18" max="19" width="9.875" style="5" customWidth="1"/>
    <col min="20" max="20" width="5.125" style="19" bestFit="1" customWidth="1"/>
    <col min="21" max="21" width="7" style="19" bestFit="1" customWidth="1"/>
  </cols>
  <sheetData>
    <row r="1" spans="1:2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</row>
    <row r="2" spans="1:21">
      <c r="A2" s="37" t="s">
        <v>1</v>
      </c>
      <c r="B2" s="37" t="s">
        <v>2</v>
      </c>
      <c r="C2" s="37" t="s">
        <v>3</v>
      </c>
      <c r="D2" s="40" t="s">
        <v>4</v>
      </c>
      <c r="F2" s="31"/>
      <c r="G2" s="28"/>
      <c r="H2" s="37" t="s">
        <v>4</v>
      </c>
      <c r="I2" s="27"/>
      <c r="J2" s="28"/>
      <c r="K2" s="28"/>
      <c r="L2" s="37" t="s">
        <v>4</v>
      </c>
      <c r="M2" s="27"/>
      <c r="N2" s="28"/>
      <c r="O2" s="28"/>
      <c r="P2" s="10"/>
      <c r="Q2" s="7" t="s">
        <v>5</v>
      </c>
      <c r="R2" s="7" t="s">
        <v>6</v>
      </c>
      <c r="S2" s="15" t="s">
        <v>7</v>
      </c>
      <c r="T2" s="17"/>
      <c r="U2" s="20"/>
    </row>
    <row r="3" spans="1:21">
      <c r="A3" s="38"/>
      <c r="B3" s="38"/>
      <c r="C3" s="38"/>
      <c r="D3" s="41"/>
      <c r="E3" s="31" t="s">
        <v>8</v>
      </c>
      <c r="F3" s="32" t="s">
        <v>9</v>
      </c>
      <c r="G3" s="29" t="s">
        <v>10</v>
      </c>
      <c r="H3" s="38"/>
      <c r="I3" s="28" t="s">
        <v>8</v>
      </c>
      <c r="J3" s="29" t="s">
        <v>9</v>
      </c>
      <c r="K3" s="29" t="s">
        <v>10</v>
      </c>
      <c r="L3" s="38"/>
      <c r="M3" s="28" t="s">
        <v>8</v>
      </c>
      <c r="N3" s="29" t="s">
        <v>9</v>
      </c>
      <c r="O3" s="29"/>
      <c r="P3" s="11"/>
      <c r="Q3" s="31" t="s">
        <v>11</v>
      </c>
      <c r="R3" s="31" t="s">
        <v>11</v>
      </c>
      <c r="S3" s="9" t="s">
        <v>11</v>
      </c>
      <c r="T3" s="17"/>
      <c r="U3" s="21"/>
    </row>
    <row r="4" spans="1:21">
      <c r="A4" s="39"/>
      <c r="B4" s="39"/>
      <c r="C4" s="39"/>
      <c r="D4" s="42"/>
      <c r="E4" s="33"/>
      <c r="F4" s="33"/>
      <c r="G4" s="8"/>
      <c r="H4" s="39"/>
      <c r="I4" s="30"/>
      <c r="J4" s="30"/>
      <c r="K4" s="8"/>
      <c r="L4" s="39"/>
      <c r="M4" s="30"/>
      <c r="N4" s="30"/>
      <c r="O4" s="30" t="s">
        <v>12</v>
      </c>
      <c r="P4" s="12" t="s">
        <v>13</v>
      </c>
      <c r="Q4" s="33" t="s">
        <v>14</v>
      </c>
      <c r="R4" s="33" t="s">
        <v>14</v>
      </c>
      <c r="S4" s="16" t="s">
        <v>14</v>
      </c>
      <c r="T4" s="17" t="s">
        <v>15</v>
      </c>
      <c r="U4" s="22" t="s">
        <v>16</v>
      </c>
    </row>
    <row r="5" spans="1:21">
      <c r="A5" s="1" t="s">
        <v>17</v>
      </c>
      <c r="B5" s="1" t="s">
        <v>18</v>
      </c>
      <c r="C5" s="2" t="s">
        <v>19</v>
      </c>
      <c r="D5" s="6">
        <v>91</v>
      </c>
      <c r="E5" s="6">
        <v>94</v>
      </c>
      <c r="F5" s="6">
        <v>94</v>
      </c>
      <c r="G5" s="35">
        <v>98</v>
      </c>
      <c r="H5" s="24">
        <v>93</v>
      </c>
      <c r="I5" s="24">
        <v>96</v>
      </c>
      <c r="J5" s="24">
        <v>94</v>
      </c>
      <c r="K5" s="35">
        <v>100</v>
      </c>
      <c r="L5" s="6">
        <v>93</v>
      </c>
      <c r="M5" s="6">
        <v>92</v>
      </c>
      <c r="N5" s="6">
        <v>95</v>
      </c>
      <c r="O5" s="6">
        <v>90</v>
      </c>
      <c r="P5" s="13">
        <f>AVERAGE(D5:O5)</f>
        <v>94.166666666666671</v>
      </c>
      <c r="Q5" s="7">
        <v>90</v>
      </c>
      <c r="R5" s="7">
        <v>92</v>
      </c>
      <c r="S5" s="7">
        <v>82</v>
      </c>
      <c r="T5" s="18">
        <f>AVERAGE(Q5:S5)</f>
        <v>88</v>
      </c>
      <c r="U5" s="23">
        <f>(P5*0.4)+(T5*0.6)</f>
        <v>90.466666666666669</v>
      </c>
    </row>
    <row r="6" spans="1:21">
      <c r="A6" s="1" t="s">
        <v>17</v>
      </c>
      <c r="B6" s="1" t="s">
        <v>20</v>
      </c>
      <c r="C6" s="2" t="s">
        <v>21</v>
      </c>
      <c r="D6" s="6">
        <v>77</v>
      </c>
      <c r="E6" s="6">
        <v>76</v>
      </c>
      <c r="F6" s="6">
        <v>94</v>
      </c>
      <c r="G6" s="35">
        <v>70</v>
      </c>
      <c r="H6" s="24">
        <v>85</v>
      </c>
      <c r="I6" s="24">
        <v>90</v>
      </c>
      <c r="J6" s="24">
        <v>94</v>
      </c>
      <c r="K6" s="35">
        <v>75</v>
      </c>
      <c r="L6" s="6">
        <v>88</v>
      </c>
      <c r="M6" s="6">
        <v>88</v>
      </c>
      <c r="N6" s="6">
        <v>95</v>
      </c>
      <c r="O6" s="6">
        <v>93</v>
      </c>
      <c r="P6" s="13">
        <f t="shared" ref="P6:P37" si="0">AVERAGE(D6:O6)</f>
        <v>85.416666666666671</v>
      </c>
      <c r="Q6" s="7">
        <v>76</v>
      </c>
      <c r="R6" s="7">
        <v>81</v>
      </c>
      <c r="S6" s="7">
        <v>67</v>
      </c>
      <c r="T6" s="18">
        <f t="shared" ref="T6:T37" si="1">AVERAGE(Q6:S6)</f>
        <v>74.666666666666671</v>
      </c>
      <c r="U6" s="23">
        <f t="shared" ref="U6:U37" si="2">(P6*0.4)+(T6*0.6)</f>
        <v>78.966666666666669</v>
      </c>
    </row>
    <row r="7" spans="1:21">
      <c r="A7" s="1" t="s">
        <v>17</v>
      </c>
      <c r="B7" s="1" t="s">
        <v>22</v>
      </c>
      <c r="C7" s="2" t="s">
        <v>23</v>
      </c>
      <c r="D7" s="6">
        <v>76</v>
      </c>
      <c r="E7" s="6">
        <v>52</v>
      </c>
      <c r="F7" s="6">
        <v>93</v>
      </c>
      <c r="G7" s="35">
        <v>85</v>
      </c>
      <c r="H7" s="24">
        <v>93</v>
      </c>
      <c r="I7" s="24">
        <v>90</v>
      </c>
      <c r="J7" s="24">
        <v>93</v>
      </c>
      <c r="K7" s="35">
        <v>94</v>
      </c>
      <c r="L7" s="6">
        <v>79</v>
      </c>
      <c r="M7" s="6">
        <v>80</v>
      </c>
      <c r="N7" s="6">
        <v>93</v>
      </c>
      <c r="O7" s="6">
        <v>85</v>
      </c>
      <c r="P7" s="13">
        <f t="shared" si="0"/>
        <v>84.416666666666671</v>
      </c>
      <c r="Q7" s="7">
        <v>82</v>
      </c>
      <c r="R7" s="7">
        <v>89</v>
      </c>
      <c r="S7" s="7">
        <v>80</v>
      </c>
      <c r="T7" s="18">
        <f t="shared" si="1"/>
        <v>83.666666666666671</v>
      </c>
      <c r="U7" s="23">
        <f t="shared" si="2"/>
        <v>83.966666666666669</v>
      </c>
    </row>
    <row r="8" spans="1:21">
      <c r="A8" s="1" t="s">
        <v>17</v>
      </c>
      <c r="B8" s="1" t="s">
        <v>24</v>
      </c>
      <c r="C8" s="2" t="s">
        <v>25</v>
      </c>
      <c r="D8" s="6">
        <v>80</v>
      </c>
      <c r="E8" s="6">
        <v>92</v>
      </c>
      <c r="F8" s="6">
        <v>94</v>
      </c>
      <c r="G8" s="35">
        <v>77</v>
      </c>
      <c r="H8" s="24">
        <v>79</v>
      </c>
      <c r="I8" s="24">
        <v>94</v>
      </c>
      <c r="J8" s="24">
        <v>94</v>
      </c>
      <c r="K8" s="35">
        <v>83</v>
      </c>
      <c r="L8" s="6">
        <v>86</v>
      </c>
      <c r="M8" s="6">
        <v>84</v>
      </c>
      <c r="N8" s="6">
        <v>93</v>
      </c>
      <c r="O8" s="6">
        <v>90</v>
      </c>
      <c r="P8" s="13">
        <f t="shared" si="0"/>
        <v>87.166666666666671</v>
      </c>
      <c r="Q8" s="7">
        <v>84</v>
      </c>
      <c r="R8" s="7">
        <v>89</v>
      </c>
      <c r="S8" s="7">
        <v>82</v>
      </c>
      <c r="T8" s="18">
        <f t="shared" si="1"/>
        <v>85</v>
      </c>
      <c r="U8" s="23">
        <f t="shared" si="2"/>
        <v>85.866666666666674</v>
      </c>
    </row>
    <row r="9" spans="1:21">
      <c r="A9" s="1" t="s">
        <v>17</v>
      </c>
      <c r="B9" s="1" t="s">
        <v>26</v>
      </c>
      <c r="C9" s="2" t="s">
        <v>27</v>
      </c>
      <c r="D9" s="6">
        <v>94</v>
      </c>
      <c r="E9" s="6">
        <v>90</v>
      </c>
      <c r="F9" s="6">
        <v>91</v>
      </c>
      <c r="G9" s="35">
        <v>90</v>
      </c>
      <c r="H9" s="24">
        <v>96</v>
      </c>
      <c r="I9" s="24">
        <v>98</v>
      </c>
      <c r="J9" s="24">
        <v>81</v>
      </c>
      <c r="K9" s="35">
        <v>100</v>
      </c>
      <c r="L9" s="6">
        <v>89</v>
      </c>
      <c r="M9" s="6">
        <v>88</v>
      </c>
      <c r="N9" s="6">
        <v>90</v>
      </c>
      <c r="O9" s="6">
        <v>80</v>
      </c>
      <c r="P9" s="13">
        <f t="shared" si="0"/>
        <v>90.583333333333329</v>
      </c>
      <c r="Q9" s="7">
        <v>97</v>
      </c>
      <c r="R9" s="7">
        <v>91</v>
      </c>
      <c r="S9" s="7">
        <v>90</v>
      </c>
      <c r="T9" s="18">
        <f t="shared" si="1"/>
        <v>92.666666666666671</v>
      </c>
      <c r="U9" s="23">
        <f t="shared" si="2"/>
        <v>91.833333333333343</v>
      </c>
    </row>
    <row r="10" spans="1:21">
      <c r="A10" s="1" t="s">
        <v>17</v>
      </c>
      <c r="B10" s="1" t="s">
        <v>28</v>
      </c>
      <c r="C10" s="2" t="s">
        <v>29</v>
      </c>
      <c r="D10" s="6">
        <v>78</v>
      </c>
      <c r="E10" s="6">
        <v>90</v>
      </c>
      <c r="F10" s="6">
        <v>94</v>
      </c>
      <c r="G10" s="35">
        <v>70</v>
      </c>
      <c r="H10" s="24">
        <v>97</v>
      </c>
      <c r="I10" s="24">
        <v>84</v>
      </c>
      <c r="J10" s="24">
        <v>92</v>
      </c>
      <c r="K10" s="35">
        <v>92</v>
      </c>
      <c r="L10" s="6">
        <v>83</v>
      </c>
      <c r="M10" s="6">
        <v>88</v>
      </c>
      <c r="N10" s="6">
        <v>94</v>
      </c>
      <c r="O10" s="6">
        <v>95</v>
      </c>
      <c r="P10" s="13">
        <f t="shared" si="0"/>
        <v>88.083333333333329</v>
      </c>
      <c r="Q10" s="7">
        <v>84</v>
      </c>
      <c r="R10" s="7">
        <v>81</v>
      </c>
      <c r="S10" s="7">
        <v>79</v>
      </c>
      <c r="T10" s="18">
        <f t="shared" si="1"/>
        <v>81.333333333333329</v>
      </c>
      <c r="U10" s="23">
        <f t="shared" si="2"/>
        <v>84.033333333333331</v>
      </c>
    </row>
    <row r="11" spans="1:21">
      <c r="A11" s="1" t="s">
        <v>17</v>
      </c>
      <c r="B11" s="1" t="s">
        <v>30</v>
      </c>
      <c r="C11" s="2" t="s">
        <v>31</v>
      </c>
      <c r="D11" s="6">
        <v>57</v>
      </c>
      <c r="E11" s="6">
        <v>76</v>
      </c>
      <c r="F11" s="6">
        <v>94</v>
      </c>
      <c r="G11" s="35">
        <v>58</v>
      </c>
      <c r="H11" s="24">
        <v>72</v>
      </c>
      <c r="I11" s="24">
        <v>88</v>
      </c>
      <c r="J11" s="24">
        <v>89</v>
      </c>
      <c r="K11" s="35">
        <v>72</v>
      </c>
      <c r="L11" s="6">
        <v>73</v>
      </c>
      <c r="M11" s="6">
        <v>80</v>
      </c>
      <c r="N11" s="6">
        <v>93</v>
      </c>
      <c r="O11" s="6">
        <v>88</v>
      </c>
      <c r="P11" s="13">
        <f t="shared" si="0"/>
        <v>78.333333333333329</v>
      </c>
      <c r="Q11" s="7">
        <v>61</v>
      </c>
      <c r="R11" s="7">
        <v>62</v>
      </c>
      <c r="S11" s="7">
        <v>52</v>
      </c>
      <c r="T11" s="18">
        <f t="shared" si="1"/>
        <v>58.333333333333336</v>
      </c>
      <c r="U11" s="23">
        <f t="shared" si="2"/>
        <v>66.333333333333329</v>
      </c>
    </row>
    <row r="12" spans="1:21">
      <c r="A12" s="1" t="s">
        <v>17</v>
      </c>
      <c r="B12" s="1" t="s">
        <v>32</v>
      </c>
      <c r="C12" s="2" t="s">
        <v>33</v>
      </c>
      <c r="D12" s="6">
        <v>84</v>
      </c>
      <c r="E12" s="6">
        <v>100</v>
      </c>
      <c r="F12" s="6">
        <v>94</v>
      </c>
      <c r="G12" s="35">
        <v>93</v>
      </c>
      <c r="H12" s="24">
        <v>90</v>
      </c>
      <c r="I12" s="24">
        <v>88</v>
      </c>
      <c r="J12" s="24">
        <v>95</v>
      </c>
      <c r="K12" s="35">
        <v>100</v>
      </c>
      <c r="L12" s="6">
        <v>87</v>
      </c>
      <c r="M12" s="6">
        <v>92</v>
      </c>
      <c r="N12" s="6">
        <v>89</v>
      </c>
      <c r="O12" s="6">
        <v>90</v>
      </c>
      <c r="P12" s="13">
        <f t="shared" si="0"/>
        <v>91.833333333333329</v>
      </c>
      <c r="Q12" s="7">
        <v>85</v>
      </c>
      <c r="R12" s="7">
        <v>94</v>
      </c>
      <c r="S12" s="7">
        <v>88</v>
      </c>
      <c r="T12" s="18">
        <f t="shared" si="1"/>
        <v>89</v>
      </c>
      <c r="U12" s="23">
        <f t="shared" si="2"/>
        <v>90.133333333333326</v>
      </c>
    </row>
    <row r="13" spans="1:21">
      <c r="A13" s="1" t="s">
        <v>17</v>
      </c>
      <c r="B13" s="1" t="s">
        <v>34</v>
      </c>
      <c r="C13" s="2" t="s">
        <v>35</v>
      </c>
      <c r="D13" s="6">
        <v>65</v>
      </c>
      <c r="E13" s="6">
        <v>88</v>
      </c>
      <c r="F13" s="6">
        <v>88</v>
      </c>
      <c r="G13" s="35">
        <v>50</v>
      </c>
      <c r="H13" s="24">
        <v>71</v>
      </c>
      <c r="I13" s="24">
        <v>96</v>
      </c>
      <c r="J13" s="24">
        <v>43</v>
      </c>
      <c r="K13" s="35">
        <v>70</v>
      </c>
      <c r="L13" s="6">
        <v>50</v>
      </c>
      <c r="M13" s="6">
        <v>80</v>
      </c>
      <c r="N13" s="6">
        <v>0</v>
      </c>
      <c r="O13" s="6">
        <v>70</v>
      </c>
      <c r="P13" s="13">
        <f t="shared" si="0"/>
        <v>64.25</v>
      </c>
      <c r="Q13" s="7">
        <v>76</v>
      </c>
      <c r="R13" s="7">
        <v>73</v>
      </c>
      <c r="S13" s="7">
        <v>44</v>
      </c>
      <c r="T13" s="18">
        <f t="shared" si="1"/>
        <v>64.333333333333329</v>
      </c>
      <c r="U13" s="23">
        <f t="shared" si="2"/>
        <v>64.3</v>
      </c>
    </row>
    <row r="14" spans="1:21">
      <c r="A14" s="1" t="s">
        <v>17</v>
      </c>
      <c r="B14" s="1" t="s">
        <v>36</v>
      </c>
      <c r="C14" s="2" t="s">
        <v>37</v>
      </c>
      <c r="D14" s="6">
        <v>92</v>
      </c>
      <c r="E14" s="6">
        <v>100</v>
      </c>
      <c r="F14" s="6">
        <v>95</v>
      </c>
      <c r="G14" s="35">
        <v>78</v>
      </c>
      <c r="H14" s="24">
        <v>90</v>
      </c>
      <c r="I14" s="24">
        <v>100</v>
      </c>
      <c r="J14" s="24">
        <v>95</v>
      </c>
      <c r="K14" s="35">
        <v>86</v>
      </c>
      <c r="L14" s="6">
        <v>90</v>
      </c>
      <c r="M14" s="6">
        <v>100</v>
      </c>
      <c r="N14" s="6">
        <v>95</v>
      </c>
      <c r="O14" s="6">
        <v>93</v>
      </c>
      <c r="P14" s="13">
        <f t="shared" si="0"/>
        <v>92.833333333333329</v>
      </c>
      <c r="Q14" s="7">
        <v>91</v>
      </c>
      <c r="R14" s="7">
        <v>94</v>
      </c>
      <c r="S14" s="7">
        <v>87</v>
      </c>
      <c r="T14" s="18">
        <f t="shared" si="1"/>
        <v>90.666666666666671</v>
      </c>
      <c r="U14" s="23">
        <f t="shared" si="2"/>
        <v>91.533333333333331</v>
      </c>
    </row>
    <row r="15" spans="1:21">
      <c r="A15" s="1" t="s">
        <v>17</v>
      </c>
      <c r="B15" s="1" t="s">
        <v>38</v>
      </c>
      <c r="C15" s="2" t="s">
        <v>39</v>
      </c>
      <c r="D15" s="6">
        <v>70</v>
      </c>
      <c r="E15" s="6">
        <v>52</v>
      </c>
      <c r="F15" s="6">
        <v>94</v>
      </c>
      <c r="G15" s="35">
        <v>88</v>
      </c>
      <c r="H15" s="24">
        <v>81</v>
      </c>
      <c r="I15" s="24">
        <v>92</v>
      </c>
      <c r="J15" s="24">
        <v>95</v>
      </c>
      <c r="K15" s="35">
        <v>100</v>
      </c>
      <c r="L15" s="6">
        <v>91</v>
      </c>
      <c r="M15" s="6">
        <v>86</v>
      </c>
      <c r="N15" s="6">
        <v>95</v>
      </c>
      <c r="O15" s="6">
        <v>92</v>
      </c>
      <c r="P15" s="13">
        <f t="shared" si="0"/>
        <v>86.333333333333329</v>
      </c>
      <c r="Q15" s="7">
        <v>85</v>
      </c>
      <c r="R15" s="7">
        <v>89</v>
      </c>
      <c r="S15" s="7">
        <v>85</v>
      </c>
      <c r="T15" s="18">
        <f t="shared" si="1"/>
        <v>86.333333333333329</v>
      </c>
      <c r="U15" s="23">
        <f t="shared" si="2"/>
        <v>86.333333333333329</v>
      </c>
    </row>
    <row r="16" spans="1:21">
      <c r="A16" s="1" t="s">
        <v>17</v>
      </c>
      <c r="B16" s="1" t="s">
        <v>40</v>
      </c>
      <c r="C16" s="2" t="s">
        <v>41</v>
      </c>
      <c r="D16" s="6">
        <v>60</v>
      </c>
      <c r="E16" s="6">
        <v>72</v>
      </c>
      <c r="F16" s="6">
        <v>90</v>
      </c>
      <c r="G16" s="35">
        <v>78</v>
      </c>
      <c r="H16" s="24">
        <v>0</v>
      </c>
      <c r="I16" s="24">
        <v>0</v>
      </c>
      <c r="J16" s="24">
        <v>0</v>
      </c>
      <c r="K16" s="35">
        <v>78</v>
      </c>
      <c r="L16" s="6">
        <v>0</v>
      </c>
      <c r="M16" s="6">
        <v>0</v>
      </c>
      <c r="N16" s="6">
        <v>0</v>
      </c>
      <c r="O16" s="36">
        <v>80</v>
      </c>
      <c r="P16" s="13">
        <f t="shared" si="0"/>
        <v>38.166666666666664</v>
      </c>
      <c r="Q16" s="7">
        <v>48</v>
      </c>
      <c r="R16" s="7">
        <v>48</v>
      </c>
      <c r="S16" s="7">
        <v>29</v>
      </c>
      <c r="T16" s="18">
        <f t="shared" si="1"/>
        <v>41.666666666666664</v>
      </c>
      <c r="U16" s="23">
        <f t="shared" si="2"/>
        <v>40.266666666666666</v>
      </c>
    </row>
    <row r="17" spans="1:21">
      <c r="A17" s="1" t="s">
        <v>17</v>
      </c>
      <c r="B17" s="1" t="s">
        <v>42</v>
      </c>
      <c r="C17" s="2" t="s">
        <v>43</v>
      </c>
      <c r="D17" s="6">
        <v>85</v>
      </c>
      <c r="E17" s="6">
        <v>76</v>
      </c>
      <c r="F17" s="6">
        <v>93</v>
      </c>
      <c r="G17" s="35">
        <v>78</v>
      </c>
      <c r="H17" s="24">
        <v>90</v>
      </c>
      <c r="I17" s="24">
        <v>92</v>
      </c>
      <c r="J17" s="24">
        <v>94</v>
      </c>
      <c r="K17" s="35">
        <v>82</v>
      </c>
      <c r="L17" s="6">
        <v>80</v>
      </c>
      <c r="M17" s="6">
        <v>80</v>
      </c>
      <c r="N17" s="6">
        <v>95</v>
      </c>
      <c r="O17" s="6">
        <v>90</v>
      </c>
      <c r="P17" s="13">
        <f t="shared" si="0"/>
        <v>86.25</v>
      </c>
      <c r="Q17" s="7">
        <v>66</v>
      </c>
      <c r="R17" s="7">
        <v>82</v>
      </c>
      <c r="S17" s="7">
        <v>74</v>
      </c>
      <c r="T17" s="18">
        <f t="shared" si="1"/>
        <v>74</v>
      </c>
      <c r="U17" s="23">
        <f t="shared" si="2"/>
        <v>78.900000000000006</v>
      </c>
    </row>
    <row r="18" spans="1:21">
      <c r="A18" s="1" t="s">
        <v>17</v>
      </c>
      <c r="B18" s="1" t="s">
        <v>44</v>
      </c>
      <c r="C18" s="2" t="s">
        <v>45</v>
      </c>
      <c r="D18" s="6">
        <v>86</v>
      </c>
      <c r="E18" s="6">
        <v>92</v>
      </c>
      <c r="F18" s="6">
        <v>93</v>
      </c>
      <c r="G18" s="35">
        <v>73</v>
      </c>
      <c r="H18" s="24">
        <v>86</v>
      </c>
      <c r="I18" s="24">
        <v>96</v>
      </c>
      <c r="J18" s="24">
        <v>94</v>
      </c>
      <c r="K18" s="35">
        <v>93</v>
      </c>
      <c r="L18" s="6">
        <v>74</v>
      </c>
      <c r="M18" s="6">
        <v>86</v>
      </c>
      <c r="N18" s="6">
        <v>94</v>
      </c>
      <c r="O18" s="6">
        <v>92</v>
      </c>
      <c r="P18" s="13">
        <f t="shared" si="0"/>
        <v>88.25</v>
      </c>
      <c r="Q18" s="7">
        <v>80</v>
      </c>
      <c r="R18" s="7">
        <v>80</v>
      </c>
      <c r="S18" s="7">
        <v>76</v>
      </c>
      <c r="T18" s="18">
        <f t="shared" si="1"/>
        <v>78.666666666666671</v>
      </c>
      <c r="U18" s="23">
        <f t="shared" si="2"/>
        <v>82.5</v>
      </c>
    </row>
    <row r="19" spans="1:21">
      <c r="A19" s="1" t="s">
        <v>46</v>
      </c>
      <c r="B19" s="1" t="s">
        <v>47</v>
      </c>
      <c r="C19" s="2" t="s">
        <v>48</v>
      </c>
      <c r="D19" s="6">
        <v>62</v>
      </c>
      <c r="E19" s="6">
        <v>94</v>
      </c>
      <c r="F19" s="6">
        <v>94</v>
      </c>
      <c r="G19" s="35">
        <v>58</v>
      </c>
      <c r="H19" s="24">
        <v>80</v>
      </c>
      <c r="I19" s="24">
        <v>99</v>
      </c>
      <c r="J19" s="24">
        <v>94</v>
      </c>
      <c r="K19" s="35">
        <v>82</v>
      </c>
      <c r="L19" s="6">
        <v>77</v>
      </c>
      <c r="M19" s="6">
        <v>92</v>
      </c>
      <c r="N19" s="6">
        <v>94</v>
      </c>
      <c r="O19" s="6">
        <v>80</v>
      </c>
      <c r="P19" s="13">
        <f t="shared" si="0"/>
        <v>83.833333333333329</v>
      </c>
      <c r="Q19" s="7">
        <v>58</v>
      </c>
      <c r="R19" s="7">
        <v>60</v>
      </c>
      <c r="S19" s="7">
        <v>52</v>
      </c>
      <c r="T19" s="18">
        <f t="shared" si="1"/>
        <v>56.666666666666664</v>
      </c>
      <c r="U19" s="23">
        <f t="shared" si="2"/>
        <v>67.533333333333331</v>
      </c>
    </row>
    <row r="20" spans="1:21">
      <c r="A20" s="1" t="s">
        <v>46</v>
      </c>
      <c r="B20" s="1" t="s">
        <v>49</v>
      </c>
      <c r="C20" s="2" t="s">
        <v>50</v>
      </c>
      <c r="D20" s="6">
        <v>82</v>
      </c>
      <c r="E20" s="6">
        <v>90</v>
      </c>
      <c r="F20" s="6">
        <v>95</v>
      </c>
      <c r="G20" s="35">
        <v>70</v>
      </c>
      <c r="H20" s="34">
        <v>86</v>
      </c>
      <c r="I20" s="24">
        <v>92</v>
      </c>
      <c r="J20" s="24">
        <v>96</v>
      </c>
      <c r="K20" s="35">
        <v>67</v>
      </c>
      <c r="L20" s="6">
        <v>87</v>
      </c>
      <c r="M20" s="6">
        <v>94</v>
      </c>
      <c r="N20" s="6">
        <v>94</v>
      </c>
      <c r="O20" s="6">
        <v>98</v>
      </c>
      <c r="P20" s="13">
        <f t="shared" si="0"/>
        <v>87.583333333333329</v>
      </c>
      <c r="Q20" s="7">
        <v>76</v>
      </c>
      <c r="R20" s="7">
        <v>92</v>
      </c>
      <c r="S20" s="7">
        <v>89</v>
      </c>
      <c r="T20" s="18">
        <f t="shared" si="1"/>
        <v>85.666666666666671</v>
      </c>
      <c r="U20" s="23">
        <f t="shared" si="2"/>
        <v>86.433333333333337</v>
      </c>
    </row>
    <row r="21" spans="1:21">
      <c r="A21" s="1" t="s">
        <v>46</v>
      </c>
      <c r="B21" s="1" t="s">
        <v>51</v>
      </c>
      <c r="C21" s="2" t="s">
        <v>52</v>
      </c>
      <c r="D21" s="6">
        <v>76</v>
      </c>
      <c r="E21" s="6">
        <v>86</v>
      </c>
      <c r="F21" s="6">
        <v>94</v>
      </c>
      <c r="G21" s="35">
        <v>75</v>
      </c>
      <c r="H21" s="24">
        <v>77</v>
      </c>
      <c r="I21" s="24">
        <v>88</v>
      </c>
      <c r="J21" s="24">
        <v>94</v>
      </c>
      <c r="K21" s="35">
        <v>75</v>
      </c>
      <c r="L21" s="6">
        <v>94</v>
      </c>
      <c r="M21" s="6">
        <v>88</v>
      </c>
      <c r="N21" s="6">
        <v>94</v>
      </c>
      <c r="O21" s="6">
        <v>95</v>
      </c>
      <c r="P21" s="13">
        <f t="shared" si="0"/>
        <v>86.333333333333329</v>
      </c>
      <c r="Q21" s="7">
        <v>83</v>
      </c>
      <c r="R21" s="7">
        <v>87</v>
      </c>
      <c r="S21" s="7">
        <v>75</v>
      </c>
      <c r="T21" s="18">
        <f t="shared" si="1"/>
        <v>81.666666666666671</v>
      </c>
      <c r="U21" s="23">
        <f t="shared" si="2"/>
        <v>83.533333333333331</v>
      </c>
    </row>
    <row r="22" spans="1:21">
      <c r="A22" s="1" t="s">
        <v>46</v>
      </c>
      <c r="B22" s="1" t="s">
        <v>53</v>
      </c>
      <c r="C22" s="2" t="s">
        <v>54</v>
      </c>
      <c r="D22" s="6">
        <v>73</v>
      </c>
      <c r="E22" s="6">
        <v>72</v>
      </c>
      <c r="F22" s="6">
        <v>95</v>
      </c>
      <c r="G22" s="35">
        <v>85</v>
      </c>
      <c r="H22" s="24">
        <v>85</v>
      </c>
      <c r="I22" s="24">
        <v>92</v>
      </c>
      <c r="J22" s="24">
        <v>94</v>
      </c>
      <c r="K22" s="35">
        <v>84</v>
      </c>
      <c r="L22" s="6">
        <v>83</v>
      </c>
      <c r="M22" s="6">
        <v>82</v>
      </c>
      <c r="N22" s="6">
        <v>95</v>
      </c>
      <c r="O22" s="6">
        <v>95</v>
      </c>
      <c r="P22" s="13">
        <f t="shared" si="0"/>
        <v>86.25</v>
      </c>
      <c r="Q22" s="7">
        <v>93</v>
      </c>
      <c r="R22" s="7">
        <v>77</v>
      </c>
      <c r="S22" s="7">
        <v>74</v>
      </c>
      <c r="T22" s="18">
        <f t="shared" si="1"/>
        <v>81.333333333333329</v>
      </c>
      <c r="U22" s="23">
        <f t="shared" si="2"/>
        <v>83.3</v>
      </c>
    </row>
    <row r="23" spans="1:21">
      <c r="A23" s="1" t="s">
        <v>46</v>
      </c>
      <c r="B23" s="1" t="s">
        <v>55</v>
      </c>
      <c r="C23" s="2" t="s">
        <v>56</v>
      </c>
      <c r="D23" s="6">
        <v>69</v>
      </c>
      <c r="E23" s="6">
        <v>90</v>
      </c>
      <c r="F23" s="6">
        <v>94</v>
      </c>
      <c r="G23" s="35">
        <v>70</v>
      </c>
      <c r="H23" s="24">
        <v>82</v>
      </c>
      <c r="I23" s="24">
        <v>98</v>
      </c>
      <c r="J23" s="24">
        <v>94</v>
      </c>
      <c r="K23" s="35">
        <v>74</v>
      </c>
      <c r="L23" s="6">
        <v>83</v>
      </c>
      <c r="M23" s="6">
        <v>94</v>
      </c>
      <c r="N23" s="6">
        <v>93</v>
      </c>
      <c r="O23" s="6">
        <v>90</v>
      </c>
      <c r="P23" s="13">
        <f t="shared" si="0"/>
        <v>85.916666666666671</v>
      </c>
      <c r="Q23" s="7">
        <v>64</v>
      </c>
      <c r="R23" s="7">
        <v>85</v>
      </c>
      <c r="S23" s="7">
        <v>80</v>
      </c>
      <c r="T23" s="18">
        <f t="shared" si="1"/>
        <v>76.333333333333329</v>
      </c>
      <c r="U23" s="23">
        <f t="shared" si="2"/>
        <v>80.166666666666657</v>
      </c>
    </row>
    <row r="24" spans="1:21">
      <c r="A24" s="1" t="s">
        <v>46</v>
      </c>
      <c r="B24" s="1" t="s">
        <v>57</v>
      </c>
      <c r="C24" s="2" t="s">
        <v>58</v>
      </c>
      <c r="D24" s="6">
        <v>79</v>
      </c>
      <c r="E24" s="6">
        <v>82</v>
      </c>
      <c r="F24" s="6">
        <v>94</v>
      </c>
      <c r="G24" s="35">
        <v>65</v>
      </c>
      <c r="H24" s="24">
        <v>77</v>
      </c>
      <c r="I24" s="24">
        <v>80</v>
      </c>
      <c r="J24" s="24">
        <v>94</v>
      </c>
      <c r="K24" s="35">
        <v>63</v>
      </c>
      <c r="L24" s="6">
        <v>80</v>
      </c>
      <c r="M24" s="6">
        <v>96</v>
      </c>
      <c r="N24" s="6">
        <v>94</v>
      </c>
      <c r="O24" s="6">
        <v>80</v>
      </c>
      <c r="P24" s="13">
        <f t="shared" si="0"/>
        <v>82</v>
      </c>
      <c r="Q24" s="7">
        <v>72</v>
      </c>
      <c r="R24" s="7">
        <v>73</v>
      </c>
      <c r="S24" s="7">
        <v>71</v>
      </c>
      <c r="T24" s="18">
        <f t="shared" si="1"/>
        <v>72</v>
      </c>
      <c r="U24" s="23">
        <f t="shared" si="2"/>
        <v>76</v>
      </c>
    </row>
    <row r="25" spans="1:21">
      <c r="A25" s="1" t="s">
        <v>46</v>
      </c>
      <c r="B25" s="1" t="s">
        <v>59</v>
      </c>
      <c r="C25" s="2" t="s">
        <v>60</v>
      </c>
      <c r="D25" s="6">
        <v>87</v>
      </c>
      <c r="E25" s="6">
        <v>88</v>
      </c>
      <c r="F25" s="6">
        <v>95</v>
      </c>
      <c r="G25" s="35">
        <v>58</v>
      </c>
      <c r="H25" s="24">
        <v>88</v>
      </c>
      <c r="I25" s="24">
        <v>90</v>
      </c>
      <c r="J25" s="24">
        <v>94</v>
      </c>
      <c r="K25" s="35">
        <v>79</v>
      </c>
      <c r="L25" s="6">
        <v>76</v>
      </c>
      <c r="M25" s="6">
        <v>90</v>
      </c>
      <c r="N25" s="6">
        <v>74</v>
      </c>
      <c r="O25" s="6">
        <v>70</v>
      </c>
      <c r="P25" s="13">
        <f t="shared" si="0"/>
        <v>82.416666666666671</v>
      </c>
      <c r="Q25" s="7">
        <v>84</v>
      </c>
      <c r="R25" s="7">
        <v>60</v>
      </c>
      <c r="S25" s="7">
        <v>92</v>
      </c>
      <c r="T25" s="18">
        <f t="shared" si="1"/>
        <v>78.666666666666671</v>
      </c>
      <c r="U25" s="23">
        <f t="shared" si="2"/>
        <v>80.166666666666671</v>
      </c>
    </row>
    <row r="26" spans="1:21">
      <c r="A26" s="1" t="s">
        <v>46</v>
      </c>
      <c r="B26" s="1" t="s">
        <v>61</v>
      </c>
      <c r="C26" s="2" t="s">
        <v>62</v>
      </c>
      <c r="D26" s="6">
        <v>78</v>
      </c>
      <c r="E26" s="6"/>
      <c r="F26" s="6">
        <v>95</v>
      </c>
      <c r="G26" s="35">
        <v>65</v>
      </c>
      <c r="H26" s="24">
        <v>86</v>
      </c>
      <c r="I26" s="24">
        <v>90</v>
      </c>
      <c r="J26" s="24">
        <v>95</v>
      </c>
      <c r="K26" s="35">
        <v>64</v>
      </c>
      <c r="L26" s="6">
        <v>81</v>
      </c>
      <c r="M26" s="6">
        <v>86</v>
      </c>
      <c r="N26" s="6">
        <v>95</v>
      </c>
      <c r="O26" s="6">
        <v>92</v>
      </c>
      <c r="P26" s="13">
        <f t="shared" si="0"/>
        <v>84.272727272727266</v>
      </c>
      <c r="Q26" s="7">
        <v>80</v>
      </c>
      <c r="R26" s="7">
        <v>78</v>
      </c>
      <c r="S26" s="7">
        <v>73</v>
      </c>
      <c r="T26" s="18">
        <f t="shared" si="1"/>
        <v>77</v>
      </c>
      <c r="U26" s="23">
        <f t="shared" si="2"/>
        <v>79.909090909090907</v>
      </c>
    </row>
    <row r="27" spans="1:21">
      <c r="A27" s="1" t="s">
        <v>46</v>
      </c>
      <c r="B27" s="1" t="s">
        <v>63</v>
      </c>
      <c r="C27" s="2" t="s">
        <v>64</v>
      </c>
      <c r="D27" s="6">
        <v>61</v>
      </c>
      <c r="E27" s="6">
        <v>88</v>
      </c>
      <c r="F27" s="6">
        <v>95</v>
      </c>
      <c r="G27" s="35">
        <v>60</v>
      </c>
      <c r="H27" s="24">
        <v>68</v>
      </c>
      <c r="I27" s="24">
        <v>94</v>
      </c>
      <c r="J27" s="24">
        <v>96</v>
      </c>
      <c r="K27" s="35">
        <v>62</v>
      </c>
      <c r="L27" s="6">
        <v>76</v>
      </c>
      <c r="M27" s="6">
        <v>88</v>
      </c>
      <c r="N27" s="6">
        <v>96</v>
      </c>
      <c r="O27" s="6">
        <v>98</v>
      </c>
      <c r="P27" s="13">
        <f t="shared" si="0"/>
        <v>81.833333333333329</v>
      </c>
      <c r="Q27" s="7">
        <v>74</v>
      </c>
      <c r="R27" s="7">
        <v>71</v>
      </c>
      <c r="S27" s="7">
        <v>60</v>
      </c>
      <c r="T27" s="18">
        <f t="shared" si="1"/>
        <v>68.333333333333329</v>
      </c>
      <c r="U27" s="23">
        <f t="shared" si="2"/>
        <v>73.73333333333332</v>
      </c>
    </row>
    <row r="28" spans="1:21">
      <c r="A28" s="1" t="s">
        <v>46</v>
      </c>
      <c r="B28" s="1" t="s">
        <v>65</v>
      </c>
      <c r="C28" s="2" t="s">
        <v>66</v>
      </c>
      <c r="D28" s="6">
        <v>79</v>
      </c>
      <c r="E28" s="6">
        <v>40</v>
      </c>
      <c r="F28" s="6">
        <v>94</v>
      </c>
      <c r="G28" s="35">
        <v>73</v>
      </c>
      <c r="H28" s="24">
        <v>69</v>
      </c>
      <c r="I28" s="24">
        <v>78</v>
      </c>
      <c r="J28" s="24">
        <v>93</v>
      </c>
      <c r="K28" s="35">
        <v>88</v>
      </c>
      <c r="L28" s="6">
        <v>80</v>
      </c>
      <c r="M28" s="6">
        <v>84</v>
      </c>
      <c r="N28" s="6">
        <v>94</v>
      </c>
      <c r="O28" s="6">
        <v>84</v>
      </c>
      <c r="P28" s="13">
        <f t="shared" si="0"/>
        <v>79.666666666666671</v>
      </c>
      <c r="Q28" s="7">
        <v>60</v>
      </c>
      <c r="R28" s="7">
        <v>74</v>
      </c>
      <c r="S28" s="7">
        <v>67</v>
      </c>
      <c r="T28" s="18">
        <f t="shared" si="1"/>
        <v>67</v>
      </c>
      <c r="U28" s="23">
        <f t="shared" si="2"/>
        <v>72.066666666666663</v>
      </c>
    </row>
    <row r="29" spans="1:21">
      <c r="A29" s="1" t="s">
        <v>67</v>
      </c>
      <c r="B29" s="1" t="s">
        <v>68</v>
      </c>
      <c r="C29" s="2" t="s">
        <v>69</v>
      </c>
      <c r="D29" s="6">
        <v>84</v>
      </c>
      <c r="E29" s="6">
        <v>97</v>
      </c>
      <c r="F29" s="6">
        <v>94</v>
      </c>
      <c r="G29" s="35">
        <v>73</v>
      </c>
      <c r="H29" s="24">
        <v>84</v>
      </c>
      <c r="I29" s="24">
        <v>96</v>
      </c>
      <c r="J29" s="24">
        <v>94</v>
      </c>
      <c r="K29" s="35">
        <v>71</v>
      </c>
      <c r="L29" s="6">
        <v>91</v>
      </c>
      <c r="M29" s="6">
        <v>92</v>
      </c>
      <c r="N29" s="6">
        <v>94</v>
      </c>
      <c r="O29" s="6">
        <v>92</v>
      </c>
      <c r="P29" s="13">
        <f t="shared" si="0"/>
        <v>88.5</v>
      </c>
      <c r="Q29" s="7">
        <v>88</v>
      </c>
      <c r="R29" s="7">
        <v>89</v>
      </c>
      <c r="S29" s="7">
        <v>77</v>
      </c>
      <c r="T29" s="18">
        <f t="shared" si="1"/>
        <v>84.666666666666671</v>
      </c>
      <c r="U29" s="23">
        <f t="shared" si="2"/>
        <v>86.2</v>
      </c>
    </row>
    <row r="30" spans="1:21">
      <c r="A30" s="1" t="s">
        <v>67</v>
      </c>
      <c r="B30" s="1" t="s">
        <v>70</v>
      </c>
      <c r="C30" s="2" t="s">
        <v>71</v>
      </c>
      <c r="D30" s="6">
        <v>78</v>
      </c>
      <c r="E30" s="6">
        <v>44</v>
      </c>
      <c r="F30" s="6">
        <v>94</v>
      </c>
      <c r="G30" s="35">
        <v>80</v>
      </c>
      <c r="H30" s="24">
        <v>77</v>
      </c>
      <c r="I30" s="24">
        <v>76</v>
      </c>
      <c r="J30" s="24">
        <v>93</v>
      </c>
      <c r="K30" s="35">
        <v>83</v>
      </c>
      <c r="L30" s="6">
        <v>88</v>
      </c>
      <c r="M30" s="6">
        <v>32</v>
      </c>
      <c r="N30" s="6">
        <v>94</v>
      </c>
      <c r="O30" s="6">
        <v>92</v>
      </c>
      <c r="P30" s="13">
        <f t="shared" si="0"/>
        <v>77.583333333333329</v>
      </c>
      <c r="Q30" s="7">
        <v>87</v>
      </c>
      <c r="R30" s="7">
        <v>74</v>
      </c>
      <c r="S30" s="7">
        <v>81</v>
      </c>
      <c r="T30" s="18">
        <f t="shared" si="1"/>
        <v>80.666666666666671</v>
      </c>
      <c r="U30" s="23">
        <f t="shared" si="2"/>
        <v>79.433333333333337</v>
      </c>
    </row>
    <row r="31" spans="1:21">
      <c r="A31" s="1" t="s">
        <v>67</v>
      </c>
      <c r="B31" s="1" t="s">
        <v>72</v>
      </c>
      <c r="C31" s="2" t="s">
        <v>73</v>
      </c>
      <c r="D31" s="6">
        <v>93</v>
      </c>
      <c r="E31" s="6">
        <v>100</v>
      </c>
      <c r="F31" s="6">
        <v>94</v>
      </c>
      <c r="G31" s="35">
        <v>95</v>
      </c>
      <c r="H31" s="24">
        <v>98</v>
      </c>
      <c r="I31" s="24">
        <v>100</v>
      </c>
      <c r="J31" s="24">
        <v>94</v>
      </c>
      <c r="K31" s="35">
        <v>100</v>
      </c>
      <c r="L31" s="6">
        <v>96</v>
      </c>
      <c r="M31" s="6">
        <v>96</v>
      </c>
      <c r="N31" s="6">
        <v>94</v>
      </c>
      <c r="O31" s="6">
        <v>93</v>
      </c>
      <c r="P31" s="13">
        <f t="shared" si="0"/>
        <v>96.083333333333329</v>
      </c>
      <c r="Q31" s="7">
        <v>96</v>
      </c>
      <c r="R31" s="7">
        <v>98</v>
      </c>
      <c r="S31" s="7">
        <v>96</v>
      </c>
      <c r="T31" s="18">
        <f t="shared" si="1"/>
        <v>96.666666666666671</v>
      </c>
      <c r="U31" s="23">
        <f t="shared" si="2"/>
        <v>96.433333333333337</v>
      </c>
    </row>
    <row r="32" spans="1:21">
      <c r="A32" s="1" t="s">
        <v>67</v>
      </c>
      <c r="B32" s="1" t="s">
        <v>74</v>
      </c>
      <c r="C32" s="2" t="s">
        <v>75</v>
      </c>
      <c r="D32" s="6">
        <v>82</v>
      </c>
      <c r="E32" s="6">
        <v>92</v>
      </c>
      <c r="F32" s="6">
        <v>94</v>
      </c>
      <c r="G32" s="35">
        <v>78</v>
      </c>
      <c r="H32" s="24">
        <v>87</v>
      </c>
      <c r="I32" s="24">
        <v>88</v>
      </c>
      <c r="J32" s="24">
        <v>92</v>
      </c>
      <c r="K32" s="35">
        <v>100</v>
      </c>
      <c r="L32" s="6">
        <v>82</v>
      </c>
      <c r="M32" s="6">
        <v>82</v>
      </c>
      <c r="N32" s="6">
        <v>94</v>
      </c>
      <c r="O32" s="6">
        <v>92</v>
      </c>
      <c r="P32" s="13">
        <f t="shared" si="0"/>
        <v>88.583333333333329</v>
      </c>
      <c r="Q32" s="7">
        <v>78</v>
      </c>
      <c r="R32" s="7">
        <v>87</v>
      </c>
      <c r="S32" s="7">
        <v>76</v>
      </c>
      <c r="T32" s="18">
        <f t="shared" si="1"/>
        <v>80.333333333333329</v>
      </c>
      <c r="U32" s="23">
        <f t="shared" si="2"/>
        <v>83.633333333333326</v>
      </c>
    </row>
    <row r="33" spans="1:21">
      <c r="A33" s="1" t="s">
        <v>67</v>
      </c>
      <c r="B33" s="1" t="s">
        <v>76</v>
      </c>
      <c r="C33" s="2" t="s">
        <v>77</v>
      </c>
      <c r="D33" s="6">
        <v>70</v>
      </c>
      <c r="E33" s="6">
        <v>86</v>
      </c>
      <c r="F33" s="6">
        <v>95</v>
      </c>
      <c r="G33" s="35">
        <v>43</v>
      </c>
      <c r="H33" s="24">
        <v>71</v>
      </c>
      <c r="I33" s="24">
        <v>98</v>
      </c>
      <c r="J33" s="24">
        <v>95</v>
      </c>
      <c r="K33" s="35">
        <v>45</v>
      </c>
      <c r="L33" s="6">
        <v>76</v>
      </c>
      <c r="M33" s="6">
        <v>96</v>
      </c>
      <c r="N33" s="6">
        <v>96</v>
      </c>
      <c r="O33" s="6">
        <v>95</v>
      </c>
      <c r="P33" s="13">
        <f t="shared" si="0"/>
        <v>80.5</v>
      </c>
      <c r="Q33" s="7">
        <v>79</v>
      </c>
      <c r="R33" s="7">
        <v>70</v>
      </c>
      <c r="S33" s="7">
        <v>66</v>
      </c>
      <c r="T33" s="18">
        <f t="shared" si="1"/>
        <v>71.666666666666671</v>
      </c>
      <c r="U33" s="23">
        <f t="shared" si="2"/>
        <v>75.2</v>
      </c>
    </row>
    <row r="34" spans="1:21">
      <c r="A34" s="1" t="s">
        <v>67</v>
      </c>
      <c r="B34" s="1" t="s">
        <v>78</v>
      </c>
      <c r="C34" s="2" t="s">
        <v>79</v>
      </c>
      <c r="D34" s="6">
        <v>67</v>
      </c>
      <c r="E34" s="6">
        <v>94</v>
      </c>
      <c r="F34" s="6">
        <v>94</v>
      </c>
      <c r="G34" s="35">
        <v>65</v>
      </c>
      <c r="H34" s="24">
        <v>76</v>
      </c>
      <c r="I34" s="24">
        <v>98</v>
      </c>
      <c r="J34" s="24">
        <v>94</v>
      </c>
      <c r="K34" s="35">
        <v>61</v>
      </c>
      <c r="L34" s="6">
        <v>75</v>
      </c>
      <c r="M34" s="6">
        <v>92</v>
      </c>
      <c r="N34" s="6">
        <v>93</v>
      </c>
      <c r="O34" s="6">
        <v>95</v>
      </c>
      <c r="P34" s="13">
        <f t="shared" si="0"/>
        <v>83.666666666666671</v>
      </c>
      <c r="Q34" s="7">
        <v>69</v>
      </c>
      <c r="R34" s="7">
        <v>74</v>
      </c>
      <c r="S34" s="7">
        <v>67</v>
      </c>
      <c r="T34" s="18">
        <f t="shared" si="1"/>
        <v>70</v>
      </c>
      <c r="U34" s="23">
        <f t="shared" si="2"/>
        <v>75.466666666666669</v>
      </c>
    </row>
    <row r="35" spans="1:21">
      <c r="A35" s="1" t="s">
        <v>67</v>
      </c>
      <c r="B35" s="1" t="s">
        <v>80</v>
      </c>
      <c r="C35" s="2" t="s">
        <v>81</v>
      </c>
      <c r="D35" s="6">
        <v>84</v>
      </c>
      <c r="E35" s="6">
        <v>76</v>
      </c>
      <c r="F35" s="6">
        <v>94</v>
      </c>
      <c r="G35" s="35">
        <v>68</v>
      </c>
      <c r="H35" s="24">
        <v>81</v>
      </c>
      <c r="I35" s="24">
        <v>92</v>
      </c>
      <c r="J35" s="24">
        <v>94</v>
      </c>
      <c r="K35" s="35">
        <v>85</v>
      </c>
      <c r="L35" s="6">
        <v>88</v>
      </c>
      <c r="M35" s="6">
        <v>96</v>
      </c>
      <c r="N35" s="6">
        <v>94</v>
      </c>
      <c r="O35" s="6">
        <v>95</v>
      </c>
      <c r="P35" s="13">
        <f t="shared" si="0"/>
        <v>87.25</v>
      </c>
      <c r="Q35" s="7">
        <v>89</v>
      </c>
      <c r="R35" s="7">
        <v>88</v>
      </c>
      <c r="S35" s="7">
        <v>91</v>
      </c>
      <c r="T35" s="18">
        <f t="shared" si="1"/>
        <v>89.333333333333329</v>
      </c>
      <c r="U35" s="23">
        <f t="shared" si="2"/>
        <v>88.5</v>
      </c>
    </row>
    <row r="36" spans="1:21">
      <c r="A36" s="1" t="s">
        <v>67</v>
      </c>
      <c r="B36" s="1" t="s">
        <v>82</v>
      </c>
      <c r="C36" s="2" t="s">
        <v>83</v>
      </c>
      <c r="D36" s="6">
        <v>80</v>
      </c>
      <c r="E36" s="6">
        <v>66</v>
      </c>
      <c r="F36" s="6">
        <v>94</v>
      </c>
      <c r="G36" s="35">
        <v>58</v>
      </c>
      <c r="H36" s="24">
        <v>84</v>
      </c>
      <c r="I36" s="24">
        <v>88</v>
      </c>
      <c r="J36" s="24">
        <v>84</v>
      </c>
      <c r="K36" s="35">
        <v>69</v>
      </c>
      <c r="L36" s="6">
        <v>81</v>
      </c>
      <c r="M36" s="6">
        <v>96</v>
      </c>
      <c r="N36" s="6">
        <v>93</v>
      </c>
      <c r="O36" s="6">
        <v>90</v>
      </c>
      <c r="P36" s="13">
        <f t="shared" si="0"/>
        <v>81.916666666666671</v>
      </c>
      <c r="Q36" s="7">
        <v>87</v>
      </c>
      <c r="R36" s="7">
        <v>86</v>
      </c>
      <c r="S36" s="7">
        <v>85</v>
      </c>
      <c r="T36" s="18">
        <f t="shared" si="1"/>
        <v>86</v>
      </c>
      <c r="U36" s="23">
        <f t="shared" si="2"/>
        <v>84.366666666666674</v>
      </c>
    </row>
    <row r="37" spans="1:21">
      <c r="A37" s="1" t="s">
        <v>67</v>
      </c>
      <c r="B37" s="1" t="s">
        <v>84</v>
      </c>
      <c r="C37" s="2" t="s">
        <v>85</v>
      </c>
      <c r="D37" s="6">
        <v>78</v>
      </c>
      <c r="E37" s="6">
        <v>92</v>
      </c>
      <c r="F37" s="6">
        <v>94</v>
      </c>
      <c r="G37" s="35">
        <v>73</v>
      </c>
      <c r="H37" s="24">
        <v>90</v>
      </c>
      <c r="I37" s="24">
        <v>96</v>
      </c>
      <c r="J37" s="24">
        <v>95</v>
      </c>
      <c r="K37" s="35">
        <v>86</v>
      </c>
      <c r="L37" s="6">
        <v>87</v>
      </c>
      <c r="M37" s="6">
        <v>98</v>
      </c>
      <c r="N37" s="6">
        <v>94</v>
      </c>
      <c r="O37" s="6">
        <v>92</v>
      </c>
      <c r="P37" s="13">
        <f t="shared" si="0"/>
        <v>89.583333333333329</v>
      </c>
      <c r="Q37" s="7">
        <v>93</v>
      </c>
      <c r="R37" s="7">
        <v>87</v>
      </c>
      <c r="S37" s="7">
        <v>84</v>
      </c>
      <c r="T37" s="18">
        <f t="shared" si="1"/>
        <v>88</v>
      </c>
      <c r="U37" s="23">
        <f t="shared" si="2"/>
        <v>88.633333333333326</v>
      </c>
    </row>
    <row r="38" spans="1:21">
      <c r="A38" s="26"/>
      <c r="B38" s="27"/>
      <c r="C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1:21">
      <c r="A39" s="26" t="s">
        <v>86</v>
      </c>
      <c r="B39" s="27"/>
      <c r="C39" s="27"/>
      <c r="G39" s="27"/>
      <c r="H39" s="27"/>
      <c r="I39" s="27"/>
      <c r="J39" s="27"/>
      <c r="K39" s="27"/>
      <c r="L39" s="27"/>
      <c r="M39" s="27"/>
      <c r="N39" s="27"/>
      <c r="O39" s="27"/>
    </row>
  </sheetData>
  <mergeCells count="7">
    <mergeCell ref="A1:U1"/>
    <mergeCell ref="A2:A4"/>
    <mergeCell ref="B2:B4"/>
    <mergeCell ref="C2:C4"/>
    <mergeCell ref="D2:D4"/>
    <mergeCell ref="H2:H4"/>
    <mergeCell ref="L2:L4"/>
  </mergeCells>
  <phoneticPr fontId="19" type="noConversion"/>
  <pageMargins left="0.25" right="0.25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A84D-8084-4D35-8247-AF9AF5BA52AA}">
  <sheetPr>
    <pageSetUpPr fitToPage="1"/>
  </sheetPr>
  <dimension ref="A1:T37"/>
  <sheetViews>
    <sheetView showGridLines="0" workbookViewId="0">
      <selection activeCell="I20" sqref="I20"/>
    </sheetView>
  </sheetViews>
  <sheetFormatPr defaultRowHeight="16.149999999999999"/>
  <cols>
    <col min="1" max="1" width="10.875" bestFit="1" customWidth="1"/>
    <col min="2" max="2" width="12.75" customWidth="1"/>
    <col min="3" max="3" width="8.875" customWidth="1"/>
    <col min="4" max="5" width="6.5" customWidth="1"/>
    <col min="6" max="6" width="8.25" bestFit="1" customWidth="1"/>
    <col min="7" max="20" width="6.5" customWidth="1"/>
  </cols>
  <sheetData>
    <row r="1" spans="1:20">
      <c r="A1" s="51" t="s">
        <v>87</v>
      </c>
      <c r="B1" s="51"/>
      <c r="C1" s="51"/>
      <c r="D1" s="51"/>
      <c r="E1" s="51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7"/>
      <c r="R1" s="27"/>
      <c r="S1" s="27"/>
      <c r="T1" s="27"/>
    </row>
    <row r="2" spans="1:20">
      <c r="A2" s="47" t="s">
        <v>1</v>
      </c>
      <c r="B2" s="47" t="s">
        <v>2</v>
      </c>
      <c r="C2" s="47" t="s">
        <v>3</v>
      </c>
      <c r="D2" s="47" t="s">
        <v>88</v>
      </c>
      <c r="E2" s="45" t="s">
        <v>89</v>
      </c>
      <c r="F2" s="43" t="s">
        <v>90</v>
      </c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3"/>
      <c r="T2" s="3"/>
    </row>
    <row r="3" spans="1:20">
      <c r="A3" s="48"/>
      <c r="B3" s="48"/>
      <c r="C3" s="48"/>
      <c r="D3" s="48"/>
      <c r="E3" s="46"/>
      <c r="F3" s="4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</row>
    <row r="4" spans="1:20">
      <c r="A4" s="1" t="s">
        <v>17</v>
      </c>
      <c r="B4" s="1" t="s">
        <v>18</v>
      </c>
      <c r="C4" s="2" t="s">
        <v>19</v>
      </c>
      <c r="D4" s="7">
        <v>90</v>
      </c>
      <c r="E4" s="7">
        <v>92</v>
      </c>
      <c r="F4" s="7">
        <v>82</v>
      </c>
      <c r="G4" s="4"/>
      <c r="H4" s="4"/>
      <c r="I4" s="4"/>
      <c r="J4" s="4"/>
      <c r="K4" s="4"/>
      <c r="L4" s="4"/>
      <c r="M4" s="4"/>
      <c r="N4" s="4"/>
      <c r="O4" s="4"/>
      <c r="P4" s="4"/>
      <c r="Q4" s="3"/>
      <c r="R4" s="3"/>
      <c r="S4" s="3"/>
      <c r="T4" s="3"/>
    </row>
    <row r="5" spans="1:20">
      <c r="A5" s="1" t="s">
        <v>17</v>
      </c>
      <c r="B5" s="1" t="s">
        <v>20</v>
      </c>
      <c r="C5" s="2" t="s">
        <v>21</v>
      </c>
      <c r="D5" s="7">
        <v>76</v>
      </c>
      <c r="E5" s="7">
        <v>81</v>
      </c>
      <c r="F5" s="7">
        <v>67</v>
      </c>
      <c r="G5" s="4"/>
      <c r="H5" s="4"/>
      <c r="I5" s="4"/>
      <c r="J5" s="4"/>
      <c r="K5" s="4"/>
      <c r="L5" s="4"/>
      <c r="M5" s="4"/>
      <c r="N5" s="4"/>
      <c r="O5" s="4"/>
      <c r="P5" s="4"/>
      <c r="Q5" s="3"/>
      <c r="R5" s="3"/>
      <c r="S5" s="3"/>
      <c r="T5" s="3"/>
    </row>
    <row r="6" spans="1:20">
      <c r="A6" s="1" t="s">
        <v>17</v>
      </c>
      <c r="B6" s="1" t="s">
        <v>22</v>
      </c>
      <c r="C6" s="2" t="s">
        <v>23</v>
      </c>
      <c r="D6" s="7">
        <v>82</v>
      </c>
      <c r="E6" s="7">
        <v>89</v>
      </c>
      <c r="F6" s="7">
        <v>80</v>
      </c>
      <c r="G6" s="4"/>
      <c r="H6" s="4"/>
      <c r="I6" s="4"/>
      <c r="J6" s="4"/>
      <c r="K6" s="4"/>
      <c r="L6" s="4"/>
      <c r="M6" s="4"/>
      <c r="N6" s="4"/>
      <c r="O6" s="4"/>
      <c r="P6" s="4"/>
      <c r="Q6" s="3"/>
      <c r="R6" s="3"/>
      <c r="S6" s="3"/>
      <c r="T6" s="3"/>
    </row>
    <row r="7" spans="1:20">
      <c r="A7" s="1" t="s">
        <v>17</v>
      </c>
      <c r="B7" s="1" t="s">
        <v>24</v>
      </c>
      <c r="C7" s="2" t="s">
        <v>25</v>
      </c>
      <c r="D7" s="7">
        <v>84</v>
      </c>
      <c r="E7" s="7">
        <v>89</v>
      </c>
      <c r="F7" s="7">
        <v>82</v>
      </c>
      <c r="G7" s="4"/>
      <c r="H7" s="4"/>
      <c r="I7" s="4"/>
      <c r="J7" s="4"/>
      <c r="K7" s="4"/>
      <c r="L7" s="4"/>
      <c r="M7" s="4"/>
      <c r="N7" s="4"/>
      <c r="O7" s="4"/>
      <c r="P7" s="4"/>
      <c r="Q7" s="3"/>
      <c r="R7" s="3"/>
      <c r="S7" s="3"/>
      <c r="T7" s="3"/>
    </row>
    <row r="8" spans="1:20">
      <c r="A8" s="1" t="s">
        <v>17</v>
      </c>
      <c r="B8" s="1" t="s">
        <v>26</v>
      </c>
      <c r="C8" s="2" t="s">
        <v>27</v>
      </c>
      <c r="D8" s="7">
        <v>97</v>
      </c>
      <c r="E8" s="7">
        <v>91</v>
      </c>
      <c r="F8" s="7">
        <v>90</v>
      </c>
      <c r="G8" s="4"/>
      <c r="H8" s="4"/>
      <c r="I8" s="4"/>
      <c r="J8" s="4"/>
      <c r="K8" s="4"/>
      <c r="L8" s="4"/>
      <c r="M8" s="4"/>
      <c r="N8" s="4"/>
      <c r="O8" s="4"/>
      <c r="P8" s="4"/>
      <c r="Q8" s="3"/>
      <c r="R8" s="3"/>
      <c r="S8" s="3"/>
      <c r="T8" s="3"/>
    </row>
    <row r="9" spans="1:20">
      <c r="A9" s="1" t="s">
        <v>17</v>
      </c>
      <c r="B9" s="1" t="s">
        <v>28</v>
      </c>
      <c r="C9" s="2" t="s">
        <v>29</v>
      </c>
      <c r="D9" s="7">
        <v>84</v>
      </c>
      <c r="E9" s="7">
        <v>81</v>
      </c>
      <c r="F9" s="7">
        <v>79</v>
      </c>
      <c r="G9" s="4"/>
      <c r="H9" s="4"/>
      <c r="I9" s="4"/>
      <c r="J9" s="4"/>
      <c r="K9" s="4"/>
      <c r="L9" s="4"/>
      <c r="M9" s="4"/>
      <c r="N9" s="4"/>
      <c r="O9" s="4"/>
      <c r="P9" s="4"/>
      <c r="Q9" s="3"/>
      <c r="R9" s="3"/>
      <c r="S9" s="3"/>
      <c r="T9" s="3"/>
    </row>
    <row r="10" spans="1:20">
      <c r="A10" s="1" t="s">
        <v>17</v>
      </c>
      <c r="B10" s="1" t="s">
        <v>30</v>
      </c>
      <c r="C10" s="2" t="s">
        <v>31</v>
      </c>
      <c r="D10" s="7">
        <v>61</v>
      </c>
      <c r="E10" s="7">
        <v>62</v>
      </c>
      <c r="F10" s="7">
        <v>52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3"/>
      <c r="R10" s="3"/>
      <c r="S10" s="3"/>
      <c r="T10" s="3"/>
    </row>
    <row r="11" spans="1:20">
      <c r="A11" s="1" t="s">
        <v>17</v>
      </c>
      <c r="B11" s="1" t="s">
        <v>32</v>
      </c>
      <c r="C11" s="2" t="s">
        <v>33</v>
      </c>
      <c r="D11" s="7">
        <v>85</v>
      </c>
      <c r="E11" s="7">
        <v>94</v>
      </c>
      <c r="F11" s="7">
        <v>88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3"/>
      <c r="R11" s="3"/>
      <c r="S11" s="3"/>
      <c r="T11" s="3"/>
    </row>
    <row r="12" spans="1:20">
      <c r="A12" s="1" t="s">
        <v>17</v>
      </c>
      <c r="B12" s="1" t="s">
        <v>34</v>
      </c>
      <c r="C12" s="2" t="s">
        <v>35</v>
      </c>
      <c r="D12" s="7">
        <v>76</v>
      </c>
      <c r="E12" s="7">
        <v>73</v>
      </c>
      <c r="F12" s="7">
        <v>44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3"/>
      <c r="R12" s="3"/>
      <c r="S12" s="3"/>
      <c r="T12" s="3"/>
    </row>
    <row r="13" spans="1:20">
      <c r="A13" s="1" t="s">
        <v>17</v>
      </c>
      <c r="B13" s="1" t="s">
        <v>36</v>
      </c>
      <c r="C13" s="2" t="s">
        <v>37</v>
      </c>
      <c r="D13" s="7">
        <v>91</v>
      </c>
      <c r="E13" s="7">
        <v>94</v>
      </c>
      <c r="F13" s="7">
        <v>87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3"/>
      <c r="R13" s="3"/>
      <c r="S13" s="3"/>
      <c r="T13" s="3"/>
    </row>
    <row r="14" spans="1:20">
      <c r="A14" s="1" t="s">
        <v>17</v>
      </c>
      <c r="B14" s="1" t="s">
        <v>38</v>
      </c>
      <c r="C14" s="2" t="s">
        <v>39</v>
      </c>
      <c r="D14" s="7">
        <v>85</v>
      </c>
      <c r="E14" s="7">
        <v>89</v>
      </c>
      <c r="F14" s="7">
        <v>85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3"/>
      <c r="R14" s="3"/>
      <c r="S14" s="3"/>
      <c r="T14" s="3"/>
    </row>
    <row r="15" spans="1:20">
      <c r="A15" s="1" t="s">
        <v>17</v>
      </c>
      <c r="B15" s="1" t="s">
        <v>40</v>
      </c>
      <c r="C15" s="2" t="s">
        <v>41</v>
      </c>
      <c r="D15" s="7">
        <v>48</v>
      </c>
      <c r="E15" s="7">
        <v>48</v>
      </c>
      <c r="F15" s="7">
        <v>29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3"/>
      <c r="R15" s="3"/>
      <c r="S15" s="3"/>
      <c r="T15" s="3"/>
    </row>
    <row r="16" spans="1:20">
      <c r="A16" s="1" t="s">
        <v>17</v>
      </c>
      <c r="B16" s="1" t="s">
        <v>42</v>
      </c>
      <c r="C16" s="2" t="s">
        <v>43</v>
      </c>
      <c r="D16" s="7">
        <v>66</v>
      </c>
      <c r="E16" s="7">
        <v>82</v>
      </c>
      <c r="F16" s="7">
        <v>74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3"/>
      <c r="R16" s="3"/>
      <c r="S16" s="3"/>
      <c r="T16" s="3"/>
    </row>
    <row r="17" spans="1:20">
      <c r="A17" s="1" t="s">
        <v>17</v>
      </c>
      <c r="B17" s="1" t="s">
        <v>44</v>
      </c>
      <c r="C17" s="2" t="s">
        <v>45</v>
      </c>
      <c r="D17" s="7">
        <v>80</v>
      </c>
      <c r="E17" s="7">
        <v>80</v>
      </c>
      <c r="F17" s="7">
        <v>76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3"/>
      <c r="R17" s="3"/>
      <c r="S17" s="3"/>
      <c r="T17" s="3"/>
    </row>
    <row r="18" spans="1:20">
      <c r="A18" s="1" t="s">
        <v>46</v>
      </c>
      <c r="B18" s="1" t="s">
        <v>47</v>
      </c>
      <c r="C18" s="2" t="s">
        <v>48</v>
      </c>
      <c r="D18" s="7">
        <v>58</v>
      </c>
      <c r="E18" s="7">
        <v>60</v>
      </c>
      <c r="F18" s="7">
        <v>52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3"/>
      <c r="R18" s="3"/>
      <c r="S18" s="3"/>
      <c r="T18" s="3"/>
    </row>
    <row r="19" spans="1:20">
      <c r="A19" s="1" t="s">
        <v>46</v>
      </c>
      <c r="B19" s="1" t="s">
        <v>49</v>
      </c>
      <c r="C19" s="2" t="s">
        <v>50</v>
      </c>
      <c r="D19" s="7">
        <v>76</v>
      </c>
      <c r="E19" s="7">
        <v>92</v>
      </c>
      <c r="F19" s="7">
        <v>89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3"/>
      <c r="R19" s="3"/>
      <c r="S19" s="3"/>
      <c r="T19" s="3"/>
    </row>
    <row r="20" spans="1:20">
      <c r="A20" s="1" t="s">
        <v>46</v>
      </c>
      <c r="B20" s="1" t="s">
        <v>51</v>
      </c>
      <c r="C20" s="2" t="s">
        <v>52</v>
      </c>
      <c r="D20" s="7">
        <v>83</v>
      </c>
      <c r="E20" s="7">
        <v>87</v>
      </c>
      <c r="F20" s="7">
        <v>75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3"/>
      <c r="R20" s="3"/>
      <c r="S20" s="3"/>
      <c r="T20" s="3"/>
    </row>
    <row r="21" spans="1:20">
      <c r="A21" s="1" t="s">
        <v>46</v>
      </c>
      <c r="B21" s="1" t="s">
        <v>53</v>
      </c>
      <c r="C21" s="2" t="s">
        <v>54</v>
      </c>
      <c r="D21" s="7">
        <v>93</v>
      </c>
      <c r="E21" s="7">
        <v>77</v>
      </c>
      <c r="F21" s="7">
        <v>74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3"/>
      <c r="R21" s="3"/>
      <c r="S21" s="3"/>
      <c r="T21" s="3"/>
    </row>
    <row r="22" spans="1:20">
      <c r="A22" s="1" t="s">
        <v>46</v>
      </c>
      <c r="B22" s="1" t="s">
        <v>55</v>
      </c>
      <c r="C22" s="2" t="s">
        <v>56</v>
      </c>
      <c r="D22" s="7">
        <v>64</v>
      </c>
      <c r="E22" s="7">
        <v>85</v>
      </c>
      <c r="F22" s="7">
        <v>80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3"/>
      <c r="R22" s="3"/>
      <c r="S22" s="3"/>
      <c r="T22" s="3"/>
    </row>
    <row r="23" spans="1:20">
      <c r="A23" s="1" t="s">
        <v>46</v>
      </c>
      <c r="B23" s="1" t="s">
        <v>57</v>
      </c>
      <c r="C23" s="2" t="s">
        <v>58</v>
      </c>
      <c r="D23" s="7">
        <v>72</v>
      </c>
      <c r="E23" s="7">
        <v>73</v>
      </c>
      <c r="F23" s="7">
        <v>71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3"/>
      <c r="R23" s="3"/>
      <c r="S23" s="3"/>
      <c r="T23" s="3"/>
    </row>
    <row r="24" spans="1:20">
      <c r="A24" s="1" t="s">
        <v>46</v>
      </c>
      <c r="B24" s="1" t="s">
        <v>59</v>
      </c>
      <c r="C24" s="2" t="s">
        <v>60</v>
      </c>
      <c r="D24" s="7">
        <v>84</v>
      </c>
      <c r="E24" s="7">
        <v>60</v>
      </c>
      <c r="F24" s="7">
        <v>92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3"/>
      <c r="R24" s="3"/>
      <c r="S24" s="3"/>
      <c r="T24" s="3"/>
    </row>
    <row r="25" spans="1:20">
      <c r="A25" s="1" t="s">
        <v>46</v>
      </c>
      <c r="B25" s="1" t="s">
        <v>61</v>
      </c>
      <c r="C25" s="2" t="s">
        <v>62</v>
      </c>
      <c r="D25" s="7">
        <v>80</v>
      </c>
      <c r="E25" s="7">
        <v>78</v>
      </c>
      <c r="F25" s="7">
        <v>73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3"/>
      <c r="R25" s="3"/>
      <c r="S25" s="3"/>
      <c r="T25" s="3"/>
    </row>
    <row r="26" spans="1:20">
      <c r="A26" s="1" t="s">
        <v>46</v>
      </c>
      <c r="B26" s="1" t="s">
        <v>63</v>
      </c>
      <c r="C26" s="2" t="s">
        <v>64</v>
      </c>
      <c r="D26" s="7">
        <v>74</v>
      </c>
      <c r="E26" s="7">
        <v>71</v>
      </c>
      <c r="F26" s="7">
        <v>60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3"/>
      <c r="R26" s="3"/>
      <c r="S26" s="3"/>
      <c r="T26" s="3"/>
    </row>
    <row r="27" spans="1:20">
      <c r="A27" s="1" t="s">
        <v>46</v>
      </c>
      <c r="B27" s="1" t="s">
        <v>65</v>
      </c>
      <c r="C27" s="2" t="s">
        <v>66</v>
      </c>
      <c r="D27" s="7">
        <v>60</v>
      </c>
      <c r="E27" s="7">
        <v>74</v>
      </c>
      <c r="F27" s="7">
        <v>67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3"/>
      <c r="R27" s="3"/>
      <c r="S27" s="3"/>
      <c r="T27" s="3"/>
    </row>
    <row r="28" spans="1:20">
      <c r="A28" s="1" t="s">
        <v>67</v>
      </c>
      <c r="B28" s="1" t="s">
        <v>68</v>
      </c>
      <c r="C28" s="2" t="s">
        <v>69</v>
      </c>
      <c r="D28" s="7">
        <v>88</v>
      </c>
      <c r="E28" s="7">
        <v>89</v>
      </c>
      <c r="F28" s="7">
        <v>77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3"/>
      <c r="R28" s="3"/>
      <c r="S28" s="3"/>
      <c r="T28" s="3"/>
    </row>
    <row r="29" spans="1:20">
      <c r="A29" s="1" t="s">
        <v>67</v>
      </c>
      <c r="B29" s="1" t="s">
        <v>70</v>
      </c>
      <c r="C29" s="2" t="s">
        <v>71</v>
      </c>
      <c r="D29" s="7">
        <v>87</v>
      </c>
      <c r="E29" s="7">
        <v>74</v>
      </c>
      <c r="F29" s="7">
        <v>81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3"/>
      <c r="R29" s="3"/>
      <c r="S29" s="3"/>
      <c r="T29" s="3"/>
    </row>
    <row r="30" spans="1:20">
      <c r="A30" s="1" t="s">
        <v>67</v>
      </c>
      <c r="B30" s="1" t="s">
        <v>72</v>
      </c>
      <c r="C30" s="2" t="s">
        <v>73</v>
      </c>
      <c r="D30" s="7">
        <v>96</v>
      </c>
      <c r="E30" s="7">
        <v>98</v>
      </c>
      <c r="F30" s="7">
        <v>96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3"/>
      <c r="R30" s="3"/>
      <c r="S30" s="3"/>
      <c r="T30" s="3"/>
    </row>
    <row r="31" spans="1:20">
      <c r="A31" s="1" t="s">
        <v>67</v>
      </c>
      <c r="B31" s="1" t="s">
        <v>74</v>
      </c>
      <c r="C31" s="2" t="s">
        <v>75</v>
      </c>
      <c r="D31" s="7">
        <v>78</v>
      </c>
      <c r="E31" s="7">
        <v>87</v>
      </c>
      <c r="F31" s="7">
        <v>76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3"/>
      <c r="R31" s="3"/>
      <c r="S31" s="3"/>
      <c r="T31" s="3"/>
    </row>
    <row r="32" spans="1:20">
      <c r="A32" s="1" t="s">
        <v>67</v>
      </c>
      <c r="B32" s="1" t="s">
        <v>76</v>
      </c>
      <c r="C32" s="2" t="s">
        <v>77</v>
      </c>
      <c r="D32" s="7">
        <v>79</v>
      </c>
      <c r="E32" s="7">
        <v>70</v>
      </c>
      <c r="F32" s="7">
        <v>66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3"/>
      <c r="R32" s="3"/>
      <c r="S32" s="3"/>
      <c r="T32" s="3"/>
    </row>
    <row r="33" spans="1:20">
      <c r="A33" s="1" t="s">
        <v>67</v>
      </c>
      <c r="B33" s="1" t="s">
        <v>78</v>
      </c>
      <c r="C33" s="2" t="s">
        <v>79</v>
      </c>
      <c r="D33" s="7">
        <v>69</v>
      </c>
      <c r="E33" s="7">
        <v>74</v>
      </c>
      <c r="F33" s="7">
        <v>67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3"/>
      <c r="R33" s="3"/>
      <c r="S33" s="3"/>
      <c r="T33" s="3"/>
    </row>
    <row r="34" spans="1:20">
      <c r="A34" s="1" t="s">
        <v>67</v>
      </c>
      <c r="B34" s="1" t="s">
        <v>80</v>
      </c>
      <c r="C34" s="2" t="s">
        <v>81</v>
      </c>
      <c r="D34" s="7">
        <v>89</v>
      </c>
      <c r="E34" s="7">
        <v>88</v>
      </c>
      <c r="F34" s="7">
        <v>91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3"/>
      <c r="R34" s="3"/>
      <c r="S34" s="3"/>
      <c r="T34" s="3"/>
    </row>
    <row r="35" spans="1:20">
      <c r="A35" s="1" t="s">
        <v>67</v>
      </c>
      <c r="B35" s="1" t="s">
        <v>82</v>
      </c>
      <c r="C35" s="2" t="s">
        <v>83</v>
      </c>
      <c r="D35" s="7">
        <v>87</v>
      </c>
      <c r="E35" s="7">
        <v>86</v>
      </c>
      <c r="F35" s="7">
        <v>85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3"/>
      <c r="R35" s="3"/>
      <c r="S35" s="3"/>
      <c r="T35" s="3"/>
    </row>
    <row r="36" spans="1:20">
      <c r="A36" s="1" t="s">
        <v>67</v>
      </c>
      <c r="B36" s="1" t="s">
        <v>84</v>
      </c>
      <c r="C36" s="2" t="s">
        <v>85</v>
      </c>
      <c r="D36" s="7">
        <v>93</v>
      </c>
      <c r="E36" s="7">
        <v>87</v>
      </c>
      <c r="F36" s="7">
        <v>84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3"/>
      <c r="R36" s="3"/>
      <c r="S36" s="3"/>
      <c r="T36" s="3"/>
    </row>
    <row r="37" spans="1:20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</row>
  </sheetData>
  <mergeCells count="7">
    <mergeCell ref="F2:F3"/>
    <mergeCell ref="E2:E3"/>
    <mergeCell ref="A1:E1"/>
    <mergeCell ref="A2:A3"/>
    <mergeCell ref="B2:B3"/>
    <mergeCell ref="C2:C3"/>
    <mergeCell ref="D2:D3"/>
  </mergeCells>
  <phoneticPr fontId="19" type="noConversion"/>
  <pageMargins left="0.25" right="0.25" top="0.75" bottom="0.75" header="0.3" footer="0.3"/>
  <pageSetup paperSize="9" scale="68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妃卿 何</cp:lastModifiedBy>
  <cp:revision/>
  <dcterms:created xsi:type="dcterms:W3CDTF">2025-10-17T06:25:37Z</dcterms:created>
  <dcterms:modified xsi:type="dcterms:W3CDTF">2026-07-07T00:49:41Z</dcterms:modified>
  <cp:category/>
  <cp:contentStatus/>
</cp:coreProperties>
</file>